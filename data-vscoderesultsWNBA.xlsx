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duelgroup-my.sharepoint.com/personal/michelle_qing_fanduel_com/Documents/"/>
    </mc:Choice>
  </mc:AlternateContent>
  <xr:revisionPtr revIDLastSave="0" documentId="8_{6334602C-EFBE-499D-B146-ED33270ACEA6}" xr6:coauthVersionLast="47" xr6:coauthVersionMax="47" xr10:uidLastSave="{00000000-0000-0000-0000-000000000000}"/>
  <bookViews>
    <workbookView xWindow="-50400" yWindow="2460" windowWidth="38010" windowHeight="15345" xr2:uid="{ADAA9206-0D34-41D7-8035-A1FFCBC52887}"/>
  </bookViews>
  <sheets>
    <sheet name="2026 Results" sheetId="1" r:id="rId1"/>
  </sheets>
  <externalReferences>
    <externalReference r:id="rId2"/>
  </externalReferences>
  <definedNames>
    <definedName name="listsTeanNameFull">[1]Lists!$A$2:$A$14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55" i="1" l="1"/>
  <c r="O555" i="1"/>
  <c r="J555" i="1"/>
  <c r="I555" i="1"/>
  <c r="P554" i="1"/>
  <c r="O554" i="1"/>
  <c r="J554" i="1"/>
  <c r="I554" i="1"/>
  <c r="P553" i="1"/>
  <c r="O553" i="1"/>
  <c r="J553" i="1"/>
  <c r="I553" i="1"/>
  <c r="P552" i="1"/>
  <c r="O552" i="1"/>
  <c r="J552" i="1"/>
  <c r="I552" i="1"/>
  <c r="P551" i="1"/>
  <c r="O551" i="1"/>
  <c r="J551" i="1"/>
  <c r="I551" i="1"/>
  <c r="P550" i="1"/>
  <c r="O550" i="1"/>
  <c r="J550" i="1"/>
  <c r="I550" i="1"/>
  <c r="P549" i="1"/>
  <c r="O549" i="1"/>
  <c r="J549" i="1"/>
  <c r="I549" i="1"/>
  <c r="P548" i="1"/>
  <c r="O548" i="1"/>
  <c r="J548" i="1"/>
  <c r="I548" i="1"/>
  <c r="P547" i="1"/>
  <c r="O547" i="1"/>
  <c r="J547" i="1"/>
  <c r="I547" i="1"/>
  <c r="P546" i="1"/>
  <c r="O546" i="1"/>
  <c r="J546" i="1"/>
  <c r="I546" i="1"/>
  <c r="P545" i="1"/>
  <c r="O545" i="1"/>
  <c r="J545" i="1"/>
  <c r="I545" i="1"/>
  <c r="P544" i="1"/>
  <c r="O544" i="1"/>
  <c r="J544" i="1"/>
  <c r="I544" i="1"/>
  <c r="P543" i="1"/>
  <c r="O543" i="1"/>
  <c r="J543" i="1"/>
  <c r="I543" i="1"/>
  <c r="P542" i="1"/>
  <c r="O542" i="1"/>
  <c r="J542" i="1"/>
  <c r="I542" i="1"/>
  <c r="P541" i="1"/>
  <c r="O541" i="1"/>
  <c r="J541" i="1"/>
  <c r="I541" i="1"/>
  <c r="P540" i="1"/>
  <c r="O540" i="1"/>
  <c r="J540" i="1"/>
  <c r="I540" i="1"/>
  <c r="P539" i="1"/>
  <c r="O539" i="1"/>
  <c r="J539" i="1"/>
  <c r="I539" i="1"/>
  <c r="P538" i="1"/>
  <c r="O538" i="1"/>
  <c r="J538" i="1"/>
  <c r="I538" i="1"/>
  <c r="P537" i="1"/>
  <c r="O537" i="1"/>
  <c r="J537" i="1"/>
  <c r="I537" i="1"/>
  <c r="P536" i="1"/>
  <c r="O536" i="1"/>
  <c r="J536" i="1"/>
  <c r="I536" i="1"/>
  <c r="P535" i="1"/>
  <c r="O535" i="1"/>
  <c r="J535" i="1"/>
  <c r="I535" i="1"/>
  <c r="P534" i="1"/>
  <c r="O534" i="1"/>
  <c r="J534" i="1"/>
  <c r="I534" i="1"/>
  <c r="P533" i="1"/>
  <c r="O533" i="1"/>
  <c r="J533" i="1"/>
  <c r="I533" i="1"/>
  <c r="P532" i="1"/>
  <c r="O532" i="1"/>
  <c r="J532" i="1"/>
  <c r="I532" i="1"/>
  <c r="P531" i="1"/>
  <c r="O531" i="1"/>
  <c r="J531" i="1"/>
  <c r="I531" i="1"/>
  <c r="P530" i="1"/>
  <c r="O530" i="1"/>
  <c r="J530" i="1"/>
  <c r="I530" i="1"/>
  <c r="P529" i="1"/>
  <c r="O529" i="1"/>
  <c r="J529" i="1"/>
  <c r="I529" i="1"/>
  <c r="P528" i="1"/>
  <c r="O528" i="1"/>
  <c r="J528" i="1"/>
  <c r="I528" i="1"/>
  <c r="P527" i="1"/>
  <c r="O527" i="1"/>
  <c r="J527" i="1"/>
  <c r="I527" i="1"/>
  <c r="P526" i="1"/>
  <c r="O526" i="1"/>
  <c r="J526" i="1"/>
  <c r="I526" i="1"/>
  <c r="P525" i="1"/>
  <c r="O525" i="1"/>
  <c r="J525" i="1"/>
  <c r="I525" i="1"/>
  <c r="P524" i="1"/>
  <c r="O524" i="1"/>
  <c r="J524" i="1"/>
  <c r="I524" i="1"/>
  <c r="P523" i="1"/>
  <c r="O523" i="1"/>
  <c r="J523" i="1"/>
  <c r="I523" i="1"/>
  <c r="P522" i="1"/>
  <c r="O522" i="1"/>
  <c r="J522" i="1"/>
  <c r="I522" i="1"/>
  <c r="P521" i="1"/>
  <c r="O521" i="1"/>
  <c r="J521" i="1"/>
  <c r="I521" i="1"/>
  <c r="P520" i="1"/>
  <c r="O520" i="1"/>
  <c r="J520" i="1"/>
  <c r="I520" i="1"/>
  <c r="P519" i="1"/>
  <c r="O519" i="1"/>
  <c r="J519" i="1"/>
  <c r="I519" i="1"/>
  <c r="P518" i="1"/>
  <c r="O518" i="1"/>
  <c r="J518" i="1"/>
  <c r="I518" i="1"/>
  <c r="P517" i="1"/>
  <c r="O517" i="1"/>
  <c r="J517" i="1"/>
  <c r="I517" i="1"/>
  <c r="P516" i="1"/>
  <c r="O516" i="1"/>
  <c r="J516" i="1"/>
  <c r="I516" i="1"/>
  <c r="P515" i="1"/>
  <c r="O515" i="1"/>
  <c r="J515" i="1"/>
  <c r="I515" i="1"/>
  <c r="P514" i="1"/>
  <c r="O514" i="1"/>
  <c r="J514" i="1"/>
  <c r="I514" i="1"/>
  <c r="P513" i="1"/>
  <c r="O513" i="1"/>
  <c r="J513" i="1"/>
  <c r="I513" i="1"/>
  <c r="P512" i="1"/>
  <c r="O512" i="1"/>
  <c r="J512" i="1"/>
  <c r="I512" i="1"/>
  <c r="P511" i="1"/>
  <c r="O511" i="1"/>
  <c r="J511" i="1"/>
  <c r="I511" i="1"/>
  <c r="P510" i="1"/>
  <c r="O510" i="1"/>
  <c r="J510" i="1"/>
  <c r="I510" i="1"/>
  <c r="P509" i="1"/>
  <c r="O509" i="1"/>
  <c r="J509" i="1"/>
  <c r="I509" i="1"/>
  <c r="P508" i="1"/>
  <c r="O508" i="1"/>
  <c r="J508" i="1"/>
  <c r="I508" i="1"/>
  <c r="P507" i="1"/>
  <c r="O507" i="1"/>
  <c r="J507" i="1"/>
  <c r="I507" i="1"/>
  <c r="P506" i="1"/>
  <c r="O506" i="1"/>
  <c r="J506" i="1"/>
  <c r="I506" i="1"/>
  <c r="P505" i="1"/>
  <c r="O505" i="1"/>
  <c r="J505" i="1"/>
  <c r="I505" i="1"/>
  <c r="P504" i="1"/>
  <c r="O504" i="1"/>
  <c r="J504" i="1"/>
  <c r="I504" i="1"/>
  <c r="P503" i="1"/>
  <c r="O503" i="1"/>
  <c r="J503" i="1"/>
  <c r="I503" i="1"/>
  <c r="P502" i="1"/>
  <c r="O502" i="1"/>
  <c r="J502" i="1"/>
  <c r="I502" i="1"/>
  <c r="P501" i="1"/>
  <c r="O501" i="1"/>
  <c r="J501" i="1"/>
  <c r="I501" i="1"/>
  <c r="P500" i="1"/>
  <c r="O500" i="1"/>
  <c r="J500" i="1"/>
  <c r="I500" i="1"/>
  <c r="P499" i="1"/>
  <c r="O499" i="1"/>
  <c r="J499" i="1"/>
  <c r="I499" i="1"/>
  <c r="P498" i="1"/>
  <c r="O498" i="1"/>
  <c r="J498" i="1"/>
  <c r="I498" i="1"/>
  <c r="P497" i="1"/>
  <c r="O497" i="1"/>
  <c r="J497" i="1"/>
  <c r="I497" i="1"/>
  <c r="P496" i="1"/>
  <c r="O496" i="1"/>
  <c r="J496" i="1"/>
  <c r="I496" i="1"/>
  <c r="P495" i="1"/>
  <c r="O495" i="1"/>
  <c r="J495" i="1"/>
  <c r="I495" i="1"/>
  <c r="P494" i="1"/>
  <c r="O494" i="1"/>
  <c r="J494" i="1"/>
  <c r="I494" i="1"/>
  <c r="P493" i="1"/>
  <c r="O493" i="1"/>
  <c r="J493" i="1"/>
  <c r="I493" i="1"/>
  <c r="P492" i="1"/>
  <c r="O492" i="1"/>
  <c r="J492" i="1"/>
  <c r="I492" i="1"/>
  <c r="P491" i="1"/>
  <c r="O491" i="1"/>
  <c r="J491" i="1"/>
  <c r="I491" i="1"/>
  <c r="P490" i="1"/>
  <c r="O490" i="1"/>
  <c r="J490" i="1"/>
  <c r="I490" i="1"/>
  <c r="P489" i="1"/>
  <c r="O489" i="1"/>
  <c r="J489" i="1"/>
  <c r="I489" i="1"/>
  <c r="P488" i="1"/>
  <c r="O488" i="1"/>
  <c r="J488" i="1"/>
  <c r="I488" i="1"/>
  <c r="P487" i="1"/>
  <c r="O487" i="1"/>
  <c r="J487" i="1"/>
  <c r="I487" i="1"/>
  <c r="P486" i="1"/>
  <c r="O486" i="1"/>
  <c r="J486" i="1"/>
  <c r="I486" i="1"/>
  <c r="P485" i="1"/>
  <c r="O485" i="1"/>
  <c r="J485" i="1"/>
  <c r="I485" i="1"/>
  <c r="P484" i="1"/>
  <c r="O484" i="1"/>
  <c r="J484" i="1"/>
  <c r="I484" i="1"/>
  <c r="P483" i="1"/>
  <c r="O483" i="1"/>
  <c r="J483" i="1"/>
  <c r="I483" i="1"/>
  <c r="P482" i="1"/>
  <c r="O482" i="1"/>
  <c r="J482" i="1"/>
  <c r="I482" i="1"/>
  <c r="P481" i="1"/>
  <c r="O481" i="1"/>
  <c r="J481" i="1"/>
  <c r="I481" i="1"/>
  <c r="P480" i="1"/>
  <c r="O480" i="1"/>
  <c r="J480" i="1"/>
  <c r="I480" i="1"/>
  <c r="P479" i="1"/>
  <c r="O479" i="1"/>
  <c r="J479" i="1"/>
  <c r="I479" i="1"/>
  <c r="P478" i="1"/>
  <c r="O478" i="1"/>
  <c r="J478" i="1"/>
  <c r="I478" i="1"/>
  <c r="P477" i="1"/>
  <c r="O477" i="1"/>
  <c r="J477" i="1"/>
  <c r="I477" i="1"/>
  <c r="P476" i="1"/>
  <c r="O476" i="1"/>
  <c r="J476" i="1"/>
  <c r="I476" i="1"/>
  <c r="P475" i="1"/>
  <c r="O475" i="1"/>
  <c r="J475" i="1"/>
  <c r="I475" i="1"/>
  <c r="P474" i="1"/>
  <c r="O474" i="1"/>
  <c r="J474" i="1"/>
  <c r="I474" i="1"/>
  <c r="P473" i="1"/>
  <c r="O473" i="1"/>
  <c r="J473" i="1"/>
  <c r="I473" i="1"/>
  <c r="P472" i="1"/>
  <c r="O472" i="1"/>
  <c r="J472" i="1"/>
  <c r="I472" i="1"/>
  <c r="P471" i="1"/>
  <c r="O471" i="1"/>
  <c r="J471" i="1"/>
  <c r="I471" i="1"/>
  <c r="P470" i="1"/>
  <c r="O470" i="1"/>
  <c r="J470" i="1"/>
  <c r="I470" i="1"/>
  <c r="P469" i="1"/>
  <c r="O469" i="1"/>
  <c r="J469" i="1"/>
  <c r="I469" i="1"/>
  <c r="P468" i="1"/>
  <c r="O468" i="1"/>
  <c r="J468" i="1"/>
  <c r="I468" i="1"/>
  <c r="P467" i="1"/>
  <c r="O467" i="1"/>
  <c r="J467" i="1"/>
  <c r="I467" i="1"/>
  <c r="P466" i="1"/>
  <c r="O466" i="1"/>
  <c r="J466" i="1"/>
  <c r="I466" i="1"/>
  <c r="P465" i="1"/>
  <c r="O465" i="1"/>
  <c r="J465" i="1"/>
  <c r="I465" i="1"/>
  <c r="P464" i="1"/>
  <c r="O464" i="1"/>
  <c r="J464" i="1"/>
  <c r="I464" i="1"/>
  <c r="P463" i="1"/>
  <c r="O463" i="1"/>
  <c r="J463" i="1"/>
  <c r="I463" i="1"/>
  <c r="P462" i="1"/>
  <c r="O462" i="1"/>
  <c r="J462" i="1"/>
  <c r="I462" i="1"/>
  <c r="P461" i="1"/>
  <c r="O461" i="1"/>
  <c r="J461" i="1"/>
  <c r="I461" i="1"/>
  <c r="P460" i="1"/>
  <c r="O460" i="1"/>
  <c r="J460" i="1"/>
  <c r="I460" i="1"/>
  <c r="P459" i="1"/>
  <c r="O459" i="1"/>
  <c r="J459" i="1"/>
  <c r="I459" i="1"/>
  <c r="P458" i="1"/>
  <c r="O458" i="1"/>
  <c r="J458" i="1"/>
  <c r="I458" i="1"/>
  <c r="P457" i="1"/>
  <c r="O457" i="1"/>
  <c r="J457" i="1"/>
  <c r="I457" i="1"/>
  <c r="P456" i="1"/>
  <c r="O456" i="1"/>
  <c r="J456" i="1"/>
  <c r="I456" i="1"/>
  <c r="P455" i="1"/>
  <c r="O455" i="1"/>
  <c r="J455" i="1"/>
  <c r="I455" i="1"/>
  <c r="P454" i="1"/>
  <c r="O454" i="1"/>
  <c r="J454" i="1"/>
  <c r="I454" i="1"/>
  <c r="P453" i="1"/>
  <c r="O453" i="1"/>
  <c r="J453" i="1"/>
  <c r="I453" i="1"/>
  <c r="P452" i="1"/>
  <c r="O452" i="1"/>
  <c r="J452" i="1"/>
  <c r="I452" i="1"/>
  <c r="P451" i="1"/>
  <c r="O451" i="1"/>
  <c r="J451" i="1"/>
  <c r="I451" i="1"/>
  <c r="P450" i="1"/>
  <c r="O450" i="1"/>
  <c r="J450" i="1"/>
  <c r="I450" i="1"/>
  <c r="P449" i="1"/>
  <c r="O449" i="1"/>
  <c r="J449" i="1"/>
  <c r="I449" i="1"/>
  <c r="P448" i="1"/>
  <c r="O448" i="1"/>
  <c r="J448" i="1"/>
  <c r="I448" i="1"/>
  <c r="P447" i="1"/>
  <c r="O447" i="1"/>
  <c r="J447" i="1"/>
  <c r="I447" i="1"/>
  <c r="P446" i="1"/>
  <c r="O446" i="1"/>
  <c r="J446" i="1"/>
  <c r="I446" i="1"/>
  <c r="P445" i="1"/>
  <c r="O445" i="1"/>
  <c r="J445" i="1"/>
  <c r="I445" i="1"/>
  <c r="P444" i="1"/>
  <c r="O444" i="1"/>
  <c r="J444" i="1"/>
  <c r="I444" i="1"/>
  <c r="P443" i="1"/>
  <c r="O443" i="1"/>
  <c r="J443" i="1"/>
  <c r="I443" i="1"/>
  <c r="P442" i="1"/>
  <c r="O442" i="1"/>
  <c r="J442" i="1"/>
  <c r="I442" i="1"/>
  <c r="P441" i="1"/>
  <c r="O441" i="1"/>
  <c r="J441" i="1"/>
  <c r="I441" i="1"/>
  <c r="P440" i="1"/>
  <c r="O440" i="1"/>
  <c r="J440" i="1"/>
  <c r="I440" i="1"/>
  <c r="P439" i="1"/>
  <c r="O439" i="1"/>
  <c r="J439" i="1"/>
  <c r="I439" i="1"/>
  <c r="P438" i="1"/>
  <c r="O438" i="1"/>
  <c r="J438" i="1"/>
  <c r="I438" i="1"/>
  <c r="P437" i="1"/>
  <c r="O437" i="1"/>
  <c r="J437" i="1"/>
  <c r="I437" i="1"/>
  <c r="P436" i="1"/>
  <c r="O436" i="1"/>
  <c r="J436" i="1"/>
  <c r="I436" i="1"/>
  <c r="P435" i="1"/>
  <c r="O435" i="1"/>
  <c r="J435" i="1"/>
  <c r="I435" i="1"/>
  <c r="P434" i="1"/>
  <c r="O434" i="1"/>
  <c r="J434" i="1"/>
  <c r="I434" i="1"/>
  <c r="P433" i="1"/>
  <c r="O433" i="1"/>
  <c r="J433" i="1"/>
  <c r="I433" i="1"/>
  <c r="P432" i="1"/>
  <c r="O432" i="1"/>
  <c r="J432" i="1"/>
  <c r="I432" i="1"/>
  <c r="P431" i="1"/>
  <c r="O431" i="1"/>
  <c r="J431" i="1"/>
  <c r="I431" i="1"/>
  <c r="P430" i="1"/>
  <c r="O430" i="1"/>
  <c r="J430" i="1"/>
  <c r="I430" i="1"/>
  <c r="P429" i="1"/>
  <c r="O429" i="1"/>
  <c r="J429" i="1"/>
  <c r="I429" i="1"/>
  <c r="P428" i="1"/>
  <c r="O428" i="1"/>
  <c r="J428" i="1"/>
  <c r="I428" i="1"/>
  <c r="P427" i="1"/>
  <c r="O427" i="1"/>
  <c r="J427" i="1"/>
  <c r="I427" i="1"/>
  <c r="P426" i="1"/>
  <c r="O426" i="1"/>
  <c r="J426" i="1"/>
  <c r="I426" i="1"/>
  <c r="P425" i="1"/>
  <c r="O425" i="1"/>
  <c r="J425" i="1"/>
  <c r="I425" i="1"/>
  <c r="P424" i="1"/>
  <c r="O424" i="1"/>
  <c r="J424" i="1"/>
  <c r="I424" i="1"/>
  <c r="P423" i="1"/>
  <c r="O423" i="1"/>
  <c r="J423" i="1"/>
  <c r="I423" i="1"/>
  <c r="P422" i="1"/>
  <c r="O422" i="1"/>
  <c r="J422" i="1"/>
  <c r="I422" i="1"/>
  <c r="P421" i="1"/>
  <c r="O421" i="1"/>
  <c r="J421" i="1"/>
  <c r="I421" i="1"/>
  <c r="P420" i="1"/>
  <c r="O420" i="1"/>
  <c r="J420" i="1"/>
  <c r="I420" i="1"/>
  <c r="P419" i="1"/>
  <c r="O419" i="1"/>
  <c r="J419" i="1"/>
  <c r="I419" i="1"/>
  <c r="P418" i="1"/>
  <c r="O418" i="1"/>
  <c r="J418" i="1"/>
  <c r="I418" i="1"/>
  <c r="P417" i="1"/>
  <c r="O417" i="1"/>
  <c r="J417" i="1"/>
  <c r="I417" i="1"/>
  <c r="P416" i="1"/>
  <c r="O416" i="1"/>
  <c r="J416" i="1"/>
  <c r="I416" i="1"/>
  <c r="P415" i="1"/>
  <c r="O415" i="1"/>
  <c r="J415" i="1"/>
  <c r="I415" i="1"/>
  <c r="P414" i="1"/>
  <c r="O414" i="1"/>
  <c r="J414" i="1"/>
  <c r="I414" i="1"/>
  <c r="P413" i="1"/>
  <c r="O413" i="1"/>
  <c r="J413" i="1"/>
  <c r="I413" i="1"/>
  <c r="P412" i="1"/>
  <c r="O412" i="1"/>
  <c r="J412" i="1"/>
  <c r="I412" i="1"/>
  <c r="P411" i="1"/>
  <c r="O411" i="1"/>
  <c r="J411" i="1"/>
  <c r="I411" i="1"/>
  <c r="P410" i="1"/>
  <c r="O410" i="1"/>
  <c r="J410" i="1"/>
  <c r="I410" i="1"/>
  <c r="P409" i="1"/>
  <c r="O409" i="1"/>
  <c r="J409" i="1"/>
  <c r="I409" i="1"/>
  <c r="P408" i="1"/>
  <c r="O408" i="1"/>
  <c r="J408" i="1"/>
  <c r="I408" i="1"/>
  <c r="P407" i="1"/>
  <c r="O407" i="1"/>
  <c r="J407" i="1"/>
  <c r="I407" i="1"/>
  <c r="P406" i="1"/>
  <c r="O406" i="1"/>
  <c r="J406" i="1"/>
  <c r="I406" i="1"/>
  <c r="P405" i="1"/>
  <c r="O405" i="1"/>
  <c r="J405" i="1"/>
  <c r="I405" i="1"/>
  <c r="P404" i="1"/>
  <c r="O404" i="1"/>
  <c r="J404" i="1"/>
  <c r="I404" i="1"/>
  <c r="P403" i="1"/>
  <c r="O403" i="1"/>
  <c r="J403" i="1"/>
  <c r="I403" i="1"/>
  <c r="P402" i="1"/>
  <c r="O402" i="1"/>
  <c r="J402" i="1"/>
  <c r="I402" i="1"/>
  <c r="P401" i="1"/>
  <c r="O401" i="1"/>
  <c r="J401" i="1"/>
  <c r="I401" i="1"/>
  <c r="P400" i="1"/>
  <c r="O400" i="1"/>
  <c r="J400" i="1"/>
  <c r="I400" i="1"/>
  <c r="P399" i="1"/>
  <c r="O399" i="1"/>
  <c r="J399" i="1"/>
  <c r="I399" i="1"/>
  <c r="P398" i="1"/>
  <c r="O398" i="1"/>
  <c r="J398" i="1"/>
  <c r="I398" i="1"/>
  <c r="P397" i="1"/>
  <c r="O397" i="1"/>
  <c r="J397" i="1"/>
  <c r="I397" i="1"/>
  <c r="P396" i="1"/>
  <c r="O396" i="1"/>
  <c r="J396" i="1"/>
  <c r="I396" i="1"/>
  <c r="P395" i="1"/>
  <c r="O395" i="1"/>
  <c r="J395" i="1"/>
  <c r="I395" i="1"/>
  <c r="P394" i="1"/>
  <c r="O394" i="1"/>
  <c r="J394" i="1"/>
  <c r="I394" i="1"/>
  <c r="P393" i="1"/>
  <c r="O393" i="1"/>
  <c r="J393" i="1"/>
  <c r="I393" i="1"/>
  <c r="P392" i="1"/>
  <c r="O392" i="1"/>
  <c r="J392" i="1"/>
  <c r="I392" i="1"/>
  <c r="P391" i="1"/>
  <c r="O391" i="1"/>
  <c r="J391" i="1"/>
  <c r="I391" i="1"/>
  <c r="P390" i="1"/>
  <c r="O390" i="1"/>
  <c r="J390" i="1"/>
  <c r="I390" i="1"/>
  <c r="P389" i="1"/>
  <c r="O389" i="1"/>
  <c r="J389" i="1"/>
  <c r="I389" i="1"/>
  <c r="P388" i="1"/>
  <c r="O388" i="1"/>
  <c r="J388" i="1"/>
  <c r="I388" i="1"/>
  <c r="P387" i="1"/>
  <c r="O387" i="1"/>
  <c r="J387" i="1"/>
  <c r="I387" i="1"/>
  <c r="P386" i="1"/>
  <c r="O386" i="1"/>
  <c r="J386" i="1"/>
  <c r="I386" i="1"/>
  <c r="P385" i="1"/>
  <c r="O385" i="1"/>
  <c r="J385" i="1"/>
  <c r="I385" i="1"/>
  <c r="P384" i="1"/>
  <c r="O384" i="1"/>
  <c r="J384" i="1"/>
  <c r="I384" i="1"/>
  <c r="P383" i="1"/>
  <c r="O383" i="1"/>
  <c r="J383" i="1"/>
  <c r="I383" i="1"/>
  <c r="P382" i="1"/>
  <c r="O382" i="1"/>
  <c r="J382" i="1"/>
  <c r="I382" i="1"/>
  <c r="P381" i="1"/>
  <c r="O381" i="1"/>
  <c r="J381" i="1"/>
  <c r="I381" i="1"/>
  <c r="P380" i="1"/>
  <c r="O380" i="1"/>
  <c r="J380" i="1"/>
  <c r="I380" i="1"/>
  <c r="P379" i="1"/>
  <c r="O379" i="1"/>
  <c r="J379" i="1"/>
  <c r="I379" i="1"/>
  <c r="P378" i="1"/>
  <c r="O378" i="1"/>
  <c r="J378" i="1"/>
  <c r="I378" i="1"/>
  <c r="P377" i="1"/>
  <c r="O377" i="1"/>
  <c r="J377" i="1"/>
  <c r="I377" i="1"/>
  <c r="P376" i="1"/>
  <c r="O376" i="1"/>
  <c r="J376" i="1"/>
  <c r="I376" i="1"/>
  <c r="P375" i="1"/>
  <c r="O375" i="1"/>
  <c r="J375" i="1"/>
  <c r="I375" i="1"/>
  <c r="P374" i="1"/>
  <c r="O374" i="1"/>
  <c r="J374" i="1"/>
  <c r="I374" i="1"/>
  <c r="P373" i="1"/>
  <c r="O373" i="1"/>
  <c r="J373" i="1"/>
  <c r="I373" i="1"/>
  <c r="P372" i="1"/>
  <c r="O372" i="1"/>
  <c r="J372" i="1"/>
  <c r="I372" i="1"/>
  <c r="P371" i="1"/>
  <c r="O371" i="1"/>
  <c r="J371" i="1"/>
  <c r="I371" i="1"/>
  <c r="P370" i="1"/>
  <c r="O370" i="1"/>
  <c r="J370" i="1"/>
  <c r="I370" i="1"/>
  <c r="P369" i="1"/>
  <c r="O369" i="1"/>
  <c r="J369" i="1"/>
  <c r="I369" i="1"/>
  <c r="P368" i="1"/>
  <c r="O368" i="1"/>
  <c r="J368" i="1"/>
  <c r="I368" i="1"/>
  <c r="P367" i="1"/>
  <c r="O367" i="1"/>
  <c r="J367" i="1"/>
  <c r="I367" i="1"/>
  <c r="P366" i="1"/>
  <c r="O366" i="1"/>
  <c r="J366" i="1"/>
  <c r="I366" i="1"/>
  <c r="P365" i="1"/>
  <c r="O365" i="1"/>
  <c r="J365" i="1"/>
  <c r="I365" i="1"/>
  <c r="P364" i="1"/>
  <c r="O364" i="1"/>
  <c r="J364" i="1"/>
  <c r="I364" i="1"/>
  <c r="P363" i="1"/>
  <c r="O363" i="1"/>
  <c r="J363" i="1"/>
  <c r="I363" i="1"/>
  <c r="P362" i="1"/>
  <c r="O362" i="1"/>
  <c r="J362" i="1"/>
  <c r="I362" i="1"/>
  <c r="P361" i="1"/>
  <c r="O361" i="1"/>
  <c r="J361" i="1"/>
  <c r="I361" i="1"/>
  <c r="P360" i="1"/>
  <c r="O360" i="1"/>
  <c r="J360" i="1"/>
  <c r="I360" i="1"/>
  <c r="P359" i="1"/>
  <c r="O359" i="1"/>
  <c r="J359" i="1"/>
  <c r="I359" i="1"/>
  <c r="P358" i="1"/>
  <c r="O358" i="1"/>
  <c r="J358" i="1"/>
  <c r="I358" i="1"/>
  <c r="P357" i="1"/>
  <c r="O357" i="1"/>
  <c r="J357" i="1"/>
  <c r="I357" i="1"/>
  <c r="P356" i="1"/>
  <c r="O356" i="1"/>
  <c r="J356" i="1"/>
  <c r="I356" i="1"/>
  <c r="P355" i="1"/>
  <c r="O355" i="1"/>
  <c r="J355" i="1"/>
  <c r="I355" i="1"/>
  <c r="P354" i="1"/>
  <c r="O354" i="1"/>
  <c r="J354" i="1"/>
  <c r="I354" i="1"/>
  <c r="P353" i="1"/>
  <c r="O353" i="1"/>
  <c r="J353" i="1"/>
  <c r="I353" i="1"/>
  <c r="P352" i="1"/>
  <c r="O352" i="1"/>
  <c r="J352" i="1"/>
  <c r="I352" i="1"/>
  <c r="P351" i="1"/>
  <c r="O351" i="1"/>
  <c r="J351" i="1"/>
  <c r="I351" i="1"/>
  <c r="P350" i="1"/>
  <c r="O350" i="1"/>
  <c r="J350" i="1"/>
  <c r="I350" i="1"/>
  <c r="P349" i="1"/>
  <c r="O349" i="1"/>
  <c r="J349" i="1"/>
  <c r="I349" i="1"/>
  <c r="P348" i="1"/>
  <c r="O348" i="1"/>
  <c r="J348" i="1"/>
  <c r="I348" i="1"/>
  <c r="P347" i="1"/>
  <c r="O347" i="1"/>
  <c r="J347" i="1"/>
  <c r="I347" i="1"/>
  <c r="P346" i="1"/>
  <c r="O346" i="1"/>
  <c r="J346" i="1"/>
  <c r="I346" i="1"/>
  <c r="P345" i="1"/>
  <c r="O345" i="1"/>
  <c r="J345" i="1"/>
  <c r="I345" i="1"/>
  <c r="P344" i="1"/>
  <c r="O344" i="1"/>
  <c r="J344" i="1"/>
  <c r="I344" i="1"/>
  <c r="P343" i="1"/>
  <c r="O343" i="1"/>
  <c r="J343" i="1"/>
  <c r="I343" i="1"/>
  <c r="P342" i="1"/>
  <c r="O342" i="1"/>
  <c r="J342" i="1"/>
  <c r="I342" i="1"/>
  <c r="P341" i="1"/>
  <c r="O341" i="1"/>
  <c r="J341" i="1"/>
  <c r="I341" i="1"/>
  <c r="P340" i="1"/>
  <c r="O340" i="1"/>
  <c r="J340" i="1"/>
  <c r="I340" i="1"/>
  <c r="P339" i="1"/>
  <c r="O339" i="1"/>
  <c r="J339" i="1"/>
  <c r="I339" i="1"/>
  <c r="P338" i="1"/>
  <c r="O338" i="1"/>
  <c r="J338" i="1"/>
  <c r="I338" i="1"/>
  <c r="P337" i="1"/>
  <c r="O337" i="1"/>
  <c r="J337" i="1"/>
  <c r="I337" i="1"/>
  <c r="P336" i="1"/>
  <c r="O336" i="1"/>
  <c r="J336" i="1"/>
  <c r="I336" i="1"/>
  <c r="P335" i="1"/>
  <c r="O335" i="1"/>
  <c r="J335" i="1"/>
  <c r="I335" i="1"/>
  <c r="P334" i="1"/>
  <c r="O334" i="1"/>
  <c r="J334" i="1"/>
  <c r="I334" i="1"/>
  <c r="P333" i="1"/>
  <c r="O333" i="1"/>
  <c r="J333" i="1"/>
  <c r="I333" i="1"/>
  <c r="P332" i="1"/>
  <c r="O332" i="1"/>
  <c r="J332" i="1"/>
  <c r="I332" i="1"/>
  <c r="P331" i="1"/>
  <c r="O331" i="1"/>
  <c r="J331" i="1"/>
  <c r="I331" i="1"/>
  <c r="P330" i="1"/>
  <c r="O330" i="1"/>
  <c r="J330" i="1"/>
  <c r="I330" i="1"/>
  <c r="P329" i="1"/>
  <c r="O329" i="1"/>
  <c r="J329" i="1"/>
  <c r="I329" i="1"/>
  <c r="P328" i="1"/>
  <c r="O328" i="1"/>
  <c r="J328" i="1"/>
  <c r="I328" i="1"/>
  <c r="P327" i="1"/>
  <c r="O327" i="1"/>
  <c r="J327" i="1"/>
  <c r="I327" i="1"/>
  <c r="P326" i="1"/>
  <c r="O326" i="1"/>
  <c r="J326" i="1"/>
  <c r="I326" i="1"/>
  <c r="P325" i="1"/>
  <c r="O325" i="1"/>
  <c r="J325" i="1"/>
  <c r="I325" i="1"/>
  <c r="P324" i="1"/>
  <c r="O324" i="1"/>
  <c r="J324" i="1"/>
  <c r="I324" i="1"/>
  <c r="P323" i="1"/>
  <c r="O323" i="1"/>
  <c r="J323" i="1"/>
  <c r="I323" i="1"/>
  <c r="P322" i="1"/>
  <c r="O322" i="1"/>
  <c r="J322" i="1"/>
  <c r="I322" i="1"/>
  <c r="P321" i="1"/>
  <c r="O321" i="1"/>
  <c r="J321" i="1"/>
  <c r="I321" i="1"/>
  <c r="P320" i="1"/>
  <c r="O320" i="1"/>
  <c r="J320" i="1"/>
  <c r="I320" i="1"/>
  <c r="P319" i="1"/>
  <c r="O319" i="1"/>
  <c r="J319" i="1"/>
  <c r="I319" i="1"/>
  <c r="P318" i="1"/>
  <c r="O318" i="1"/>
  <c r="J318" i="1"/>
  <c r="I318" i="1"/>
  <c r="P317" i="1"/>
  <c r="O317" i="1"/>
  <c r="J317" i="1"/>
  <c r="I317" i="1"/>
  <c r="P316" i="1"/>
  <c r="O316" i="1"/>
  <c r="J316" i="1"/>
  <c r="I316" i="1"/>
  <c r="P315" i="1"/>
  <c r="O315" i="1"/>
  <c r="J315" i="1"/>
  <c r="I315" i="1"/>
  <c r="P314" i="1"/>
  <c r="O314" i="1"/>
  <c r="J314" i="1"/>
  <c r="I314" i="1"/>
  <c r="P313" i="1"/>
  <c r="O313" i="1"/>
  <c r="J313" i="1"/>
  <c r="I313" i="1"/>
  <c r="P312" i="1"/>
  <c r="O312" i="1"/>
  <c r="J312" i="1"/>
  <c r="I312" i="1"/>
  <c r="P311" i="1"/>
  <c r="O311" i="1"/>
  <c r="J311" i="1"/>
  <c r="I311" i="1"/>
  <c r="P310" i="1"/>
  <c r="O310" i="1"/>
  <c r="J310" i="1"/>
  <c r="I310" i="1"/>
  <c r="P309" i="1"/>
  <c r="O309" i="1"/>
  <c r="J309" i="1"/>
  <c r="I309" i="1"/>
  <c r="P308" i="1"/>
  <c r="O308" i="1"/>
  <c r="J308" i="1"/>
  <c r="I308" i="1"/>
  <c r="P307" i="1"/>
  <c r="O307" i="1"/>
  <c r="J307" i="1"/>
  <c r="I307" i="1"/>
  <c r="P306" i="1"/>
  <c r="O306" i="1"/>
  <c r="J306" i="1"/>
  <c r="I306" i="1"/>
  <c r="P305" i="1"/>
  <c r="O305" i="1"/>
  <c r="J305" i="1"/>
  <c r="I305" i="1"/>
  <c r="P304" i="1"/>
  <c r="O304" i="1"/>
  <c r="J304" i="1"/>
  <c r="I304" i="1"/>
  <c r="P303" i="1"/>
  <c r="O303" i="1"/>
  <c r="J303" i="1"/>
  <c r="I303" i="1"/>
  <c r="P302" i="1"/>
  <c r="O302" i="1"/>
  <c r="J302" i="1"/>
  <c r="I302" i="1"/>
  <c r="P301" i="1"/>
  <c r="O301" i="1"/>
  <c r="J301" i="1"/>
  <c r="I301" i="1"/>
  <c r="P300" i="1"/>
  <c r="O300" i="1"/>
  <c r="J300" i="1"/>
  <c r="I300" i="1"/>
  <c r="P299" i="1"/>
  <c r="O299" i="1"/>
  <c r="J299" i="1"/>
  <c r="I299" i="1"/>
  <c r="P298" i="1"/>
  <c r="O298" i="1"/>
  <c r="J298" i="1"/>
  <c r="I298" i="1"/>
  <c r="P297" i="1"/>
  <c r="O297" i="1"/>
  <c r="J297" i="1"/>
  <c r="I297" i="1"/>
  <c r="P296" i="1"/>
  <c r="O296" i="1"/>
  <c r="J296" i="1"/>
  <c r="I296" i="1"/>
  <c r="P295" i="1"/>
  <c r="O295" i="1"/>
  <c r="J295" i="1"/>
  <c r="I295" i="1"/>
  <c r="P294" i="1"/>
  <c r="O294" i="1"/>
  <c r="J294" i="1"/>
  <c r="I294" i="1"/>
  <c r="P293" i="1"/>
  <c r="O293" i="1"/>
  <c r="J293" i="1"/>
  <c r="I293" i="1"/>
  <c r="P292" i="1"/>
  <c r="O292" i="1"/>
  <c r="J292" i="1"/>
  <c r="I292" i="1"/>
  <c r="P291" i="1"/>
  <c r="O291" i="1"/>
  <c r="J291" i="1"/>
  <c r="I291" i="1"/>
  <c r="P290" i="1"/>
  <c r="O290" i="1"/>
  <c r="J290" i="1"/>
  <c r="I290" i="1"/>
  <c r="P289" i="1"/>
  <c r="O289" i="1"/>
  <c r="J289" i="1"/>
  <c r="I289" i="1"/>
  <c r="P288" i="1"/>
  <c r="O288" i="1"/>
  <c r="J288" i="1"/>
  <c r="I288" i="1"/>
  <c r="P287" i="1"/>
  <c r="O287" i="1"/>
  <c r="J287" i="1"/>
  <c r="I287" i="1"/>
  <c r="P286" i="1"/>
  <c r="O286" i="1"/>
  <c r="J286" i="1"/>
  <c r="I286" i="1"/>
  <c r="P285" i="1"/>
  <c r="O285" i="1"/>
  <c r="J285" i="1"/>
  <c r="I285" i="1"/>
  <c r="P284" i="1"/>
  <c r="O284" i="1"/>
  <c r="J284" i="1"/>
  <c r="I284" i="1"/>
  <c r="P283" i="1"/>
  <c r="O283" i="1"/>
  <c r="J283" i="1"/>
  <c r="I283" i="1"/>
  <c r="P282" i="1"/>
  <c r="O282" i="1"/>
  <c r="J282" i="1"/>
  <c r="I282" i="1"/>
  <c r="P281" i="1"/>
  <c r="O281" i="1"/>
  <c r="J281" i="1"/>
  <c r="I281" i="1"/>
  <c r="P280" i="1"/>
  <c r="O280" i="1"/>
  <c r="J280" i="1"/>
  <c r="I280" i="1"/>
  <c r="P279" i="1"/>
  <c r="O279" i="1"/>
  <c r="J279" i="1"/>
  <c r="I279" i="1"/>
  <c r="P278" i="1"/>
  <c r="O278" i="1"/>
  <c r="J278" i="1"/>
  <c r="I278" i="1"/>
  <c r="P277" i="1"/>
  <c r="O277" i="1"/>
  <c r="J277" i="1"/>
  <c r="I277" i="1"/>
  <c r="P276" i="1"/>
  <c r="O276" i="1"/>
  <c r="J276" i="1"/>
  <c r="I276" i="1"/>
  <c r="P275" i="1"/>
  <c r="O275" i="1"/>
  <c r="J275" i="1"/>
  <c r="I275" i="1"/>
  <c r="P274" i="1"/>
  <c r="O274" i="1"/>
  <c r="J274" i="1"/>
  <c r="I274" i="1"/>
  <c r="P273" i="1"/>
  <c r="O273" i="1"/>
  <c r="J273" i="1"/>
  <c r="I273" i="1"/>
  <c r="P272" i="1"/>
  <c r="O272" i="1"/>
  <c r="J272" i="1"/>
  <c r="I272" i="1"/>
  <c r="P271" i="1"/>
  <c r="O271" i="1"/>
  <c r="J271" i="1"/>
  <c r="I271" i="1"/>
  <c r="P270" i="1"/>
  <c r="O270" i="1"/>
  <c r="J270" i="1"/>
  <c r="I270" i="1"/>
  <c r="P269" i="1"/>
  <c r="O269" i="1"/>
  <c r="J269" i="1"/>
  <c r="I269" i="1"/>
  <c r="P268" i="1"/>
  <c r="O268" i="1"/>
  <c r="J268" i="1"/>
  <c r="I268" i="1"/>
  <c r="P267" i="1"/>
  <c r="O267" i="1"/>
  <c r="J267" i="1"/>
  <c r="I267" i="1"/>
  <c r="P266" i="1"/>
  <c r="O266" i="1"/>
  <c r="J266" i="1"/>
  <c r="I266" i="1"/>
  <c r="P265" i="1"/>
  <c r="O265" i="1"/>
  <c r="J265" i="1"/>
  <c r="I265" i="1"/>
  <c r="P264" i="1"/>
  <c r="O264" i="1"/>
  <c r="J264" i="1"/>
  <c r="I264" i="1"/>
  <c r="P263" i="1"/>
  <c r="O263" i="1"/>
  <c r="J263" i="1"/>
  <c r="I263" i="1"/>
  <c r="P262" i="1"/>
  <c r="O262" i="1"/>
  <c r="J262" i="1"/>
  <c r="I262" i="1"/>
  <c r="P261" i="1"/>
  <c r="O261" i="1"/>
  <c r="J261" i="1"/>
  <c r="I261" i="1"/>
  <c r="P260" i="1"/>
  <c r="O260" i="1"/>
  <c r="J260" i="1"/>
  <c r="I260" i="1"/>
  <c r="P259" i="1"/>
  <c r="O259" i="1"/>
  <c r="J259" i="1"/>
  <c r="I259" i="1"/>
  <c r="P258" i="1"/>
  <c r="O258" i="1"/>
  <c r="J258" i="1"/>
  <c r="I258" i="1"/>
  <c r="P257" i="1"/>
  <c r="O257" i="1"/>
  <c r="J257" i="1"/>
  <c r="I257" i="1"/>
  <c r="P256" i="1"/>
  <c r="O256" i="1"/>
  <c r="J256" i="1"/>
  <c r="I256" i="1"/>
  <c r="P255" i="1"/>
  <c r="O255" i="1"/>
  <c r="J255" i="1"/>
  <c r="I255" i="1"/>
  <c r="P254" i="1"/>
  <c r="O254" i="1"/>
  <c r="J254" i="1"/>
  <c r="I254" i="1"/>
  <c r="P253" i="1"/>
  <c r="O253" i="1"/>
  <c r="J253" i="1"/>
  <c r="I253" i="1"/>
  <c r="P252" i="1"/>
  <c r="O252" i="1"/>
  <c r="J252" i="1"/>
  <c r="I252" i="1"/>
  <c r="P251" i="1"/>
  <c r="O251" i="1"/>
  <c r="J251" i="1"/>
  <c r="I251" i="1"/>
  <c r="P250" i="1"/>
  <c r="O250" i="1"/>
  <c r="J250" i="1"/>
  <c r="I250" i="1"/>
  <c r="P249" i="1"/>
  <c r="O249" i="1"/>
  <c r="J249" i="1"/>
  <c r="I249" i="1"/>
  <c r="P248" i="1"/>
  <c r="O248" i="1"/>
  <c r="J248" i="1"/>
  <c r="I248" i="1"/>
  <c r="P247" i="1"/>
  <c r="O247" i="1"/>
  <c r="J247" i="1"/>
  <c r="I247" i="1"/>
  <c r="P246" i="1"/>
  <c r="O246" i="1"/>
  <c r="J246" i="1"/>
  <c r="I246" i="1"/>
  <c r="P245" i="1"/>
  <c r="O245" i="1"/>
  <c r="J245" i="1"/>
  <c r="I245" i="1"/>
  <c r="P244" i="1"/>
  <c r="O244" i="1"/>
  <c r="J244" i="1"/>
  <c r="I244" i="1"/>
  <c r="P243" i="1"/>
  <c r="O243" i="1"/>
  <c r="J243" i="1"/>
  <c r="I243" i="1"/>
  <c r="P242" i="1"/>
  <c r="O242" i="1"/>
  <c r="J242" i="1"/>
  <c r="I242" i="1"/>
  <c r="P241" i="1"/>
  <c r="O241" i="1"/>
  <c r="J241" i="1"/>
  <c r="I241" i="1"/>
  <c r="P240" i="1"/>
  <c r="O240" i="1"/>
  <c r="J240" i="1"/>
  <c r="I240" i="1"/>
  <c r="P239" i="1"/>
  <c r="O239" i="1"/>
  <c r="J239" i="1"/>
  <c r="I239" i="1"/>
  <c r="P238" i="1"/>
  <c r="O238" i="1"/>
  <c r="J238" i="1"/>
  <c r="I238" i="1"/>
  <c r="P237" i="1"/>
  <c r="O237" i="1"/>
  <c r="J237" i="1"/>
  <c r="I237" i="1"/>
  <c r="P236" i="1"/>
  <c r="O236" i="1"/>
  <c r="J236" i="1"/>
  <c r="I236" i="1"/>
  <c r="P235" i="1"/>
  <c r="O235" i="1"/>
  <c r="J235" i="1"/>
  <c r="I235" i="1"/>
  <c r="P234" i="1"/>
  <c r="O234" i="1"/>
  <c r="J234" i="1"/>
  <c r="I234" i="1"/>
  <c r="P233" i="1"/>
  <c r="O233" i="1"/>
  <c r="J233" i="1"/>
  <c r="I233" i="1"/>
  <c r="P232" i="1"/>
  <c r="O232" i="1"/>
  <c r="J232" i="1"/>
  <c r="I232" i="1"/>
  <c r="P231" i="1"/>
  <c r="O231" i="1"/>
  <c r="J231" i="1"/>
  <c r="I231" i="1"/>
  <c r="P230" i="1"/>
  <c r="O230" i="1"/>
  <c r="J230" i="1"/>
  <c r="I230" i="1"/>
  <c r="P229" i="1"/>
  <c r="O229" i="1"/>
  <c r="J229" i="1"/>
  <c r="I229" i="1"/>
  <c r="P228" i="1"/>
  <c r="O228" i="1"/>
  <c r="J228" i="1"/>
  <c r="I228" i="1"/>
  <c r="P227" i="1"/>
  <c r="O227" i="1"/>
  <c r="J227" i="1"/>
  <c r="I227" i="1"/>
  <c r="P226" i="1"/>
  <c r="O226" i="1"/>
  <c r="J226" i="1"/>
  <c r="I226" i="1"/>
  <c r="P225" i="1"/>
  <c r="O225" i="1"/>
  <c r="J225" i="1"/>
  <c r="I225" i="1"/>
  <c r="P224" i="1"/>
  <c r="O224" i="1"/>
  <c r="J224" i="1"/>
  <c r="I224" i="1"/>
  <c r="P223" i="1"/>
  <c r="O223" i="1"/>
  <c r="J223" i="1"/>
  <c r="I223" i="1"/>
  <c r="P222" i="1"/>
  <c r="O222" i="1"/>
  <c r="J222" i="1"/>
  <c r="I222" i="1"/>
  <c r="P221" i="1"/>
  <c r="O221" i="1"/>
  <c r="J221" i="1"/>
  <c r="I221" i="1"/>
  <c r="P220" i="1"/>
  <c r="O220" i="1"/>
  <c r="J220" i="1"/>
  <c r="I220" i="1"/>
  <c r="P219" i="1"/>
  <c r="O219" i="1"/>
  <c r="J219" i="1"/>
  <c r="I219" i="1"/>
  <c r="P218" i="1"/>
  <c r="O218" i="1"/>
  <c r="J218" i="1"/>
  <c r="I218" i="1"/>
  <c r="P217" i="1"/>
  <c r="O217" i="1"/>
  <c r="J217" i="1"/>
  <c r="I217" i="1"/>
  <c r="P216" i="1"/>
  <c r="O216" i="1"/>
  <c r="J216" i="1"/>
  <c r="I216" i="1"/>
  <c r="P215" i="1"/>
  <c r="O215" i="1"/>
  <c r="J215" i="1"/>
  <c r="I215" i="1"/>
  <c r="P214" i="1"/>
  <c r="O214" i="1"/>
  <c r="J214" i="1"/>
  <c r="I214" i="1"/>
  <c r="P213" i="1"/>
  <c r="O213" i="1"/>
  <c r="J213" i="1"/>
  <c r="I213" i="1"/>
  <c r="P212" i="1"/>
  <c r="O212" i="1"/>
  <c r="J212" i="1"/>
  <c r="I212" i="1"/>
  <c r="P211" i="1"/>
  <c r="O211" i="1"/>
  <c r="J211" i="1"/>
  <c r="I211" i="1"/>
  <c r="P210" i="1"/>
  <c r="O210" i="1"/>
  <c r="J210" i="1"/>
  <c r="I210" i="1"/>
  <c r="P209" i="1"/>
  <c r="O209" i="1"/>
  <c r="J209" i="1"/>
  <c r="I209" i="1"/>
  <c r="P208" i="1"/>
  <c r="O208" i="1"/>
  <c r="J208" i="1"/>
  <c r="I208" i="1"/>
  <c r="P207" i="1"/>
  <c r="O207" i="1"/>
  <c r="J207" i="1"/>
  <c r="I207" i="1"/>
  <c r="P206" i="1"/>
  <c r="O206" i="1"/>
  <c r="J206" i="1"/>
  <c r="I206" i="1"/>
  <c r="P205" i="1"/>
  <c r="O205" i="1"/>
  <c r="J205" i="1"/>
  <c r="I205" i="1"/>
  <c r="P204" i="1"/>
  <c r="O204" i="1"/>
  <c r="J204" i="1"/>
  <c r="I204" i="1"/>
  <c r="P203" i="1"/>
  <c r="O203" i="1"/>
  <c r="J203" i="1"/>
  <c r="I203" i="1"/>
  <c r="P202" i="1"/>
  <c r="O202" i="1"/>
  <c r="J202" i="1"/>
  <c r="I202" i="1"/>
  <c r="P201" i="1"/>
  <c r="O201" i="1"/>
  <c r="J201" i="1"/>
  <c r="I201" i="1"/>
  <c r="P200" i="1"/>
  <c r="O200" i="1"/>
  <c r="J200" i="1"/>
  <c r="I200" i="1"/>
  <c r="P199" i="1"/>
  <c r="O199" i="1"/>
  <c r="J199" i="1"/>
  <c r="I199" i="1"/>
  <c r="P198" i="1"/>
  <c r="O198" i="1"/>
  <c r="J198" i="1"/>
  <c r="I198" i="1"/>
  <c r="P197" i="1"/>
  <c r="O197" i="1"/>
  <c r="J197" i="1"/>
  <c r="I197" i="1"/>
  <c r="P196" i="1"/>
  <c r="O196" i="1"/>
  <c r="J196" i="1"/>
  <c r="I196" i="1"/>
  <c r="P195" i="1"/>
  <c r="O195" i="1"/>
  <c r="J195" i="1"/>
  <c r="I195" i="1"/>
  <c r="P194" i="1"/>
  <c r="O194" i="1"/>
  <c r="J194" i="1"/>
  <c r="I194" i="1"/>
  <c r="P193" i="1"/>
  <c r="O193" i="1"/>
  <c r="J193" i="1"/>
  <c r="I193" i="1"/>
  <c r="P192" i="1"/>
  <c r="O192" i="1"/>
  <c r="J192" i="1"/>
  <c r="I192" i="1"/>
  <c r="P191" i="1"/>
  <c r="O191" i="1"/>
  <c r="J191" i="1"/>
  <c r="I191" i="1"/>
  <c r="P190" i="1"/>
  <c r="O190" i="1"/>
  <c r="J190" i="1"/>
  <c r="I190" i="1"/>
  <c r="P189" i="1"/>
  <c r="O189" i="1"/>
  <c r="J189" i="1"/>
  <c r="I189" i="1"/>
  <c r="P188" i="1"/>
  <c r="O188" i="1"/>
  <c r="J188" i="1"/>
  <c r="I188" i="1"/>
  <c r="P187" i="1"/>
  <c r="O187" i="1"/>
  <c r="J187" i="1"/>
  <c r="I187" i="1"/>
  <c r="P186" i="1"/>
  <c r="O186" i="1"/>
  <c r="J186" i="1"/>
  <c r="I186" i="1"/>
  <c r="P185" i="1"/>
  <c r="O185" i="1"/>
  <c r="J185" i="1"/>
  <c r="I185" i="1"/>
  <c r="P184" i="1"/>
  <c r="O184" i="1"/>
  <c r="J184" i="1"/>
  <c r="I184" i="1"/>
  <c r="P183" i="1"/>
  <c r="O183" i="1"/>
  <c r="J183" i="1"/>
  <c r="I183" i="1"/>
  <c r="P182" i="1"/>
  <c r="O182" i="1"/>
  <c r="J182" i="1"/>
  <c r="I182" i="1"/>
  <c r="P181" i="1"/>
  <c r="O181" i="1"/>
  <c r="J181" i="1"/>
  <c r="I181" i="1"/>
  <c r="P180" i="1"/>
  <c r="O180" i="1"/>
  <c r="J180" i="1"/>
  <c r="I180" i="1"/>
  <c r="P179" i="1"/>
  <c r="O179" i="1"/>
  <c r="J179" i="1"/>
  <c r="I179" i="1"/>
  <c r="P178" i="1"/>
  <c r="O178" i="1"/>
  <c r="J178" i="1"/>
  <c r="I178" i="1"/>
  <c r="P177" i="1"/>
  <c r="O177" i="1"/>
  <c r="J177" i="1"/>
  <c r="I177" i="1"/>
  <c r="P176" i="1"/>
  <c r="O176" i="1"/>
  <c r="J176" i="1"/>
  <c r="I176" i="1"/>
  <c r="P175" i="1"/>
  <c r="O175" i="1"/>
  <c r="J175" i="1"/>
  <c r="I175" i="1"/>
  <c r="P174" i="1"/>
  <c r="O174" i="1"/>
  <c r="J174" i="1"/>
  <c r="I174" i="1"/>
  <c r="P173" i="1"/>
  <c r="O173" i="1"/>
  <c r="J173" i="1"/>
  <c r="I173" i="1"/>
  <c r="P172" i="1"/>
  <c r="O172" i="1"/>
  <c r="J172" i="1"/>
  <c r="I172" i="1"/>
  <c r="P171" i="1"/>
  <c r="O171" i="1"/>
  <c r="J171" i="1"/>
  <c r="I171" i="1"/>
  <c r="P170" i="1"/>
  <c r="O170" i="1"/>
  <c r="J170" i="1"/>
  <c r="I170" i="1"/>
  <c r="P169" i="1"/>
  <c r="O169" i="1"/>
  <c r="J169" i="1"/>
  <c r="I169" i="1"/>
  <c r="P168" i="1"/>
  <c r="O168" i="1"/>
  <c r="J168" i="1"/>
  <c r="I168" i="1"/>
  <c r="P167" i="1"/>
  <c r="O167" i="1"/>
  <c r="J167" i="1"/>
  <c r="I167" i="1"/>
  <c r="P166" i="1"/>
  <c r="O166" i="1"/>
  <c r="J166" i="1"/>
  <c r="I166" i="1"/>
  <c r="P165" i="1"/>
  <c r="O165" i="1"/>
  <c r="J165" i="1"/>
  <c r="I165" i="1"/>
  <c r="P164" i="1"/>
  <c r="O164" i="1"/>
  <c r="J164" i="1"/>
  <c r="I164" i="1"/>
  <c r="P163" i="1"/>
  <c r="O163" i="1"/>
  <c r="J163" i="1"/>
  <c r="I163" i="1"/>
  <c r="P162" i="1"/>
  <c r="O162" i="1"/>
  <c r="J162" i="1"/>
  <c r="I162" i="1"/>
  <c r="P161" i="1"/>
  <c r="O161" i="1"/>
  <c r="J161" i="1"/>
  <c r="I161" i="1"/>
  <c r="P160" i="1"/>
  <c r="O160" i="1"/>
  <c r="J160" i="1"/>
  <c r="I160" i="1"/>
  <c r="P159" i="1"/>
  <c r="O159" i="1"/>
  <c r="J159" i="1"/>
  <c r="I159" i="1"/>
  <c r="P158" i="1"/>
  <c r="O158" i="1"/>
  <c r="J158" i="1"/>
  <c r="I158" i="1"/>
  <c r="P157" i="1"/>
  <c r="O157" i="1"/>
  <c r="J157" i="1"/>
  <c r="I157" i="1"/>
  <c r="P156" i="1"/>
  <c r="O156" i="1"/>
  <c r="J156" i="1"/>
  <c r="I156" i="1"/>
  <c r="P155" i="1"/>
  <c r="O155" i="1"/>
  <c r="J155" i="1"/>
  <c r="I155" i="1"/>
  <c r="P154" i="1"/>
  <c r="O154" i="1"/>
  <c r="J154" i="1"/>
  <c r="I154" i="1"/>
  <c r="P153" i="1"/>
  <c r="O153" i="1"/>
  <c r="J153" i="1"/>
  <c r="I153" i="1"/>
  <c r="P152" i="1"/>
  <c r="O152" i="1"/>
  <c r="J152" i="1"/>
  <c r="I152" i="1"/>
  <c r="P151" i="1"/>
  <c r="O151" i="1"/>
  <c r="J151" i="1"/>
  <c r="I151" i="1"/>
  <c r="P150" i="1"/>
  <c r="O150" i="1"/>
  <c r="J150" i="1"/>
  <c r="I150" i="1"/>
  <c r="P149" i="1"/>
  <c r="O149" i="1"/>
  <c r="J149" i="1"/>
  <c r="I149" i="1"/>
  <c r="P148" i="1"/>
  <c r="O148" i="1"/>
  <c r="J148" i="1"/>
  <c r="I148" i="1"/>
  <c r="P147" i="1"/>
  <c r="O147" i="1"/>
  <c r="J147" i="1"/>
  <c r="I147" i="1"/>
  <c r="P146" i="1"/>
  <c r="O146" i="1"/>
  <c r="J146" i="1"/>
  <c r="I146" i="1"/>
  <c r="P145" i="1"/>
  <c r="O145" i="1"/>
  <c r="J145" i="1"/>
  <c r="I145" i="1"/>
  <c r="P144" i="1"/>
  <c r="O144" i="1"/>
  <c r="J144" i="1"/>
  <c r="I144" i="1"/>
  <c r="P143" i="1"/>
  <c r="O143" i="1"/>
  <c r="J143" i="1"/>
  <c r="I143" i="1"/>
  <c r="P142" i="1"/>
  <c r="O142" i="1"/>
  <c r="J142" i="1"/>
  <c r="I142" i="1"/>
  <c r="P141" i="1"/>
  <c r="O141" i="1"/>
  <c r="J141" i="1"/>
  <c r="I141" i="1"/>
  <c r="P140" i="1"/>
  <c r="O140" i="1"/>
  <c r="J140" i="1"/>
  <c r="I140" i="1"/>
  <c r="P139" i="1"/>
  <c r="O139" i="1"/>
  <c r="J139" i="1"/>
  <c r="I139" i="1"/>
  <c r="P138" i="1"/>
  <c r="O138" i="1"/>
  <c r="J138" i="1"/>
  <c r="I138" i="1"/>
  <c r="P137" i="1"/>
  <c r="O137" i="1"/>
  <c r="J137" i="1"/>
  <c r="I137" i="1"/>
  <c r="P136" i="1"/>
  <c r="O136" i="1"/>
  <c r="J136" i="1"/>
  <c r="I136" i="1"/>
  <c r="P135" i="1"/>
  <c r="O135" i="1"/>
  <c r="J135" i="1"/>
  <c r="I135" i="1"/>
  <c r="P134" i="1"/>
  <c r="O134" i="1"/>
  <c r="J134" i="1"/>
  <c r="I134" i="1"/>
  <c r="P133" i="1"/>
  <c r="O133" i="1"/>
  <c r="J133" i="1"/>
  <c r="I133" i="1"/>
  <c r="P132" i="1"/>
  <c r="O132" i="1"/>
  <c r="J132" i="1"/>
  <c r="I132" i="1"/>
  <c r="P131" i="1"/>
  <c r="O131" i="1"/>
  <c r="J131" i="1"/>
  <c r="I131" i="1"/>
  <c r="P130" i="1"/>
  <c r="O130" i="1"/>
  <c r="J130" i="1"/>
  <c r="I130" i="1"/>
  <c r="P129" i="1"/>
  <c r="O129" i="1"/>
  <c r="J129" i="1"/>
  <c r="I129" i="1"/>
  <c r="P128" i="1"/>
  <c r="O128" i="1"/>
  <c r="J128" i="1"/>
  <c r="I128" i="1"/>
  <c r="P127" i="1"/>
  <c r="O127" i="1"/>
  <c r="J127" i="1"/>
  <c r="I127" i="1"/>
  <c r="P126" i="1"/>
  <c r="O126" i="1"/>
  <c r="J126" i="1"/>
  <c r="I126" i="1"/>
  <c r="P125" i="1"/>
  <c r="O125" i="1"/>
  <c r="J125" i="1"/>
  <c r="I125" i="1"/>
  <c r="P124" i="1"/>
  <c r="O124" i="1"/>
  <c r="J124" i="1"/>
  <c r="I124" i="1"/>
  <c r="P123" i="1"/>
  <c r="O123" i="1"/>
  <c r="J123" i="1"/>
  <c r="I123" i="1"/>
  <c r="P122" i="1"/>
  <c r="O122" i="1"/>
  <c r="J122" i="1"/>
  <c r="I122" i="1"/>
  <c r="P121" i="1"/>
  <c r="O121" i="1"/>
  <c r="J121" i="1"/>
  <c r="I121" i="1"/>
  <c r="P120" i="1"/>
  <c r="O120" i="1"/>
  <c r="J120" i="1"/>
  <c r="I120" i="1"/>
  <c r="P119" i="1"/>
  <c r="O119" i="1"/>
  <c r="J119" i="1"/>
  <c r="I119" i="1"/>
  <c r="P118" i="1"/>
  <c r="O118" i="1"/>
  <c r="J118" i="1"/>
  <c r="I118" i="1"/>
  <c r="P117" i="1"/>
  <c r="O117" i="1"/>
  <c r="J117" i="1"/>
  <c r="I117" i="1"/>
  <c r="P116" i="1"/>
  <c r="O116" i="1"/>
  <c r="J116" i="1"/>
  <c r="I116" i="1"/>
  <c r="P115" i="1"/>
  <c r="O115" i="1"/>
  <c r="J115" i="1"/>
  <c r="I115" i="1"/>
  <c r="P114" i="1"/>
  <c r="O114" i="1"/>
  <c r="J114" i="1"/>
  <c r="I114" i="1"/>
  <c r="P113" i="1"/>
  <c r="O113" i="1"/>
  <c r="J113" i="1"/>
  <c r="I113" i="1"/>
  <c r="P112" i="1"/>
  <c r="O112" i="1"/>
  <c r="J112" i="1"/>
  <c r="I112" i="1"/>
  <c r="P111" i="1"/>
  <c r="O111" i="1"/>
  <c r="J111" i="1"/>
  <c r="I111" i="1"/>
  <c r="P110" i="1"/>
  <c r="O110" i="1"/>
  <c r="J110" i="1"/>
  <c r="I110" i="1"/>
  <c r="P109" i="1"/>
  <c r="O109" i="1"/>
  <c r="J109" i="1"/>
  <c r="I109" i="1"/>
  <c r="P108" i="1"/>
  <c r="O108" i="1"/>
  <c r="J108" i="1"/>
  <c r="I108" i="1"/>
  <c r="P107" i="1"/>
  <c r="O107" i="1"/>
  <c r="J107" i="1"/>
  <c r="I107" i="1"/>
  <c r="P106" i="1"/>
  <c r="O106" i="1"/>
  <c r="J106" i="1"/>
  <c r="I106" i="1"/>
  <c r="P105" i="1"/>
  <c r="O105" i="1"/>
  <c r="J105" i="1"/>
  <c r="I105" i="1"/>
  <c r="P104" i="1"/>
  <c r="O104" i="1"/>
  <c r="J104" i="1"/>
  <c r="I104" i="1"/>
  <c r="P103" i="1"/>
  <c r="O103" i="1"/>
  <c r="J103" i="1"/>
  <c r="I103" i="1"/>
  <c r="P102" i="1"/>
  <c r="O102" i="1"/>
  <c r="J102" i="1"/>
  <c r="I102" i="1"/>
  <c r="P101" i="1"/>
  <c r="O101" i="1"/>
  <c r="J101" i="1"/>
  <c r="I101" i="1"/>
  <c r="P100" i="1"/>
  <c r="O100" i="1"/>
  <c r="J100" i="1"/>
  <c r="I100" i="1"/>
  <c r="P99" i="1"/>
  <c r="O99" i="1"/>
  <c r="J99" i="1"/>
  <c r="I99" i="1"/>
  <c r="P98" i="1"/>
  <c r="O98" i="1"/>
  <c r="J98" i="1"/>
  <c r="I98" i="1"/>
  <c r="P97" i="1"/>
  <c r="O97" i="1"/>
  <c r="J97" i="1"/>
  <c r="I97" i="1"/>
  <c r="P96" i="1"/>
  <c r="O96" i="1"/>
  <c r="J96" i="1"/>
  <c r="I96" i="1"/>
  <c r="P95" i="1"/>
  <c r="O95" i="1"/>
  <c r="J95" i="1"/>
  <c r="I95" i="1"/>
  <c r="P94" i="1"/>
  <c r="O94" i="1"/>
  <c r="J94" i="1"/>
  <c r="I94" i="1"/>
  <c r="P93" i="1"/>
  <c r="O93" i="1"/>
  <c r="J93" i="1"/>
  <c r="I93" i="1"/>
  <c r="P92" i="1"/>
  <c r="O92" i="1"/>
  <c r="J92" i="1"/>
  <c r="I92" i="1"/>
  <c r="P91" i="1"/>
  <c r="O91" i="1"/>
  <c r="J91" i="1"/>
  <c r="I91" i="1"/>
  <c r="P90" i="1"/>
  <c r="O90" i="1"/>
  <c r="J90" i="1"/>
  <c r="I90" i="1"/>
  <c r="P89" i="1"/>
  <c r="O89" i="1"/>
  <c r="J89" i="1"/>
  <c r="I89" i="1"/>
  <c r="P88" i="1"/>
  <c r="O88" i="1"/>
  <c r="J88" i="1"/>
  <c r="I88" i="1"/>
  <c r="P87" i="1"/>
  <c r="O87" i="1"/>
  <c r="J87" i="1"/>
  <c r="I87" i="1"/>
  <c r="P86" i="1"/>
  <c r="O86" i="1"/>
  <c r="J86" i="1"/>
  <c r="I86" i="1"/>
  <c r="P85" i="1"/>
  <c r="O85" i="1"/>
  <c r="J85" i="1"/>
  <c r="I85" i="1"/>
  <c r="P84" i="1"/>
  <c r="O84" i="1"/>
  <c r="J84" i="1"/>
  <c r="I84" i="1"/>
  <c r="P83" i="1"/>
  <c r="O83" i="1"/>
  <c r="J83" i="1"/>
  <c r="I83" i="1"/>
  <c r="P82" i="1"/>
  <c r="O82" i="1"/>
  <c r="J82" i="1"/>
  <c r="I82" i="1"/>
  <c r="P81" i="1"/>
  <c r="O81" i="1"/>
  <c r="J81" i="1"/>
  <c r="I81" i="1"/>
  <c r="P80" i="1"/>
  <c r="O80" i="1"/>
  <c r="J80" i="1"/>
  <c r="I80" i="1"/>
  <c r="P79" i="1"/>
  <c r="O79" i="1"/>
  <c r="J79" i="1"/>
  <c r="I79" i="1"/>
  <c r="P78" i="1"/>
  <c r="O78" i="1"/>
  <c r="J78" i="1"/>
  <c r="I78" i="1"/>
  <c r="P77" i="1"/>
  <c r="O77" i="1"/>
  <c r="J77" i="1"/>
  <c r="I77" i="1"/>
  <c r="P76" i="1"/>
  <c r="O76" i="1"/>
  <c r="J76" i="1"/>
  <c r="I76" i="1"/>
  <c r="P75" i="1"/>
  <c r="O75" i="1"/>
  <c r="J75" i="1"/>
  <c r="I75" i="1"/>
  <c r="P74" i="1"/>
  <c r="O74" i="1"/>
  <c r="J74" i="1"/>
  <c r="I74" i="1"/>
  <c r="P73" i="1"/>
  <c r="O73" i="1"/>
  <c r="J73" i="1"/>
  <c r="I73" i="1"/>
  <c r="P72" i="1"/>
  <c r="O72" i="1"/>
  <c r="J72" i="1"/>
  <c r="I72" i="1"/>
  <c r="P71" i="1"/>
  <c r="O71" i="1"/>
  <c r="J71" i="1"/>
  <c r="I71" i="1"/>
  <c r="P70" i="1"/>
  <c r="O70" i="1"/>
  <c r="J70" i="1"/>
  <c r="I70" i="1"/>
  <c r="P69" i="1"/>
  <c r="O69" i="1"/>
  <c r="J69" i="1"/>
  <c r="I69" i="1"/>
  <c r="P68" i="1"/>
  <c r="O68" i="1"/>
  <c r="J68" i="1"/>
  <c r="I68" i="1"/>
  <c r="P67" i="1"/>
  <c r="O67" i="1"/>
  <c r="J67" i="1"/>
  <c r="I67" i="1"/>
  <c r="P66" i="1"/>
  <c r="O66" i="1"/>
  <c r="J66" i="1"/>
  <c r="I66" i="1"/>
  <c r="P65" i="1"/>
  <c r="O65" i="1"/>
  <c r="J65" i="1"/>
  <c r="I65" i="1"/>
  <c r="P64" i="1"/>
  <c r="O64" i="1"/>
  <c r="J64" i="1"/>
  <c r="I64" i="1"/>
  <c r="P63" i="1"/>
  <c r="O63" i="1"/>
  <c r="J63" i="1"/>
  <c r="I63" i="1"/>
  <c r="P62" i="1"/>
  <c r="O62" i="1"/>
  <c r="J62" i="1"/>
  <c r="I62" i="1"/>
  <c r="P61" i="1"/>
  <c r="O61" i="1"/>
  <c r="J61" i="1"/>
  <c r="I61" i="1"/>
  <c r="P60" i="1"/>
  <c r="O60" i="1"/>
  <c r="J60" i="1"/>
  <c r="I60" i="1"/>
  <c r="P59" i="1"/>
  <c r="O59" i="1"/>
  <c r="J59" i="1"/>
  <c r="I59" i="1"/>
  <c r="P58" i="1"/>
  <c r="O58" i="1"/>
  <c r="J58" i="1"/>
  <c r="I58" i="1"/>
  <c r="P57" i="1"/>
  <c r="O57" i="1"/>
  <c r="J57" i="1"/>
  <c r="I57" i="1"/>
  <c r="P56" i="1"/>
  <c r="O56" i="1"/>
  <c r="J56" i="1"/>
  <c r="I56" i="1"/>
  <c r="P55" i="1"/>
  <c r="O55" i="1"/>
  <c r="J55" i="1"/>
  <c r="I55" i="1"/>
  <c r="P54" i="1"/>
  <c r="O54" i="1"/>
  <c r="J54" i="1"/>
  <c r="I54" i="1"/>
  <c r="P53" i="1"/>
  <c r="O53" i="1"/>
  <c r="J53" i="1"/>
  <c r="I53" i="1"/>
  <c r="P52" i="1"/>
  <c r="O52" i="1"/>
  <c r="J52" i="1"/>
  <c r="I52" i="1"/>
  <c r="P51" i="1"/>
  <c r="O51" i="1"/>
  <c r="J51" i="1"/>
  <c r="I51" i="1"/>
  <c r="P50" i="1"/>
  <c r="O50" i="1"/>
  <c r="J50" i="1"/>
  <c r="I50" i="1"/>
  <c r="P49" i="1"/>
  <c r="O49" i="1"/>
  <c r="J49" i="1"/>
  <c r="I49" i="1"/>
  <c r="P48" i="1"/>
  <c r="O48" i="1"/>
  <c r="J48" i="1"/>
  <c r="I48" i="1"/>
  <c r="P47" i="1"/>
  <c r="O47" i="1"/>
  <c r="J47" i="1"/>
  <c r="I47" i="1"/>
  <c r="P46" i="1"/>
  <c r="O46" i="1"/>
  <c r="J46" i="1"/>
  <c r="I46" i="1"/>
  <c r="P45" i="1"/>
  <c r="O45" i="1"/>
  <c r="J45" i="1"/>
  <c r="I45" i="1"/>
  <c r="P44" i="1"/>
  <c r="O44" i="1"/>
  <c r="J44" i="1"/>
  <c r="I44" i="1"/>
  <c r="P43" i="1"/>
  <c r="O43" i="1"/>
  <c r="J43" i="1"/>
  <c r="I43" i="1"/>
  <c r="P42" i="1"/>
  <c r="O42" i="1"/>
  <c r="J42" i="1"/>
  <c r="I42" i="1"/>
  <c r="P41" i="1"/>
  <c r="O41" i="1"/>
  <c r="J41" i="1"/>
  <c r="I41" i="1"/>
  <c r="P40" i="1"/>
  <c r="O40" i="1"/>
  <c r="J40" i="1"/>
  <c r="I40" i="1"/>
  <c r="P39" i="1"/>
  <c r="O39" i="1"/>
  <c r="J39" i="1"/>
  <c r="I39" i="1"/>
  <c r="P38" i="1"/>
  <c r="O38" i="1"/>
  <c r="J38" i="1"/>
  <c r="I38" i="1"/>
  <c r="P37" i="1"/>
  <c r="O37" i="1"/>
  <c r="J37" i="1"/>
  <c r="I37" i="1"/>
  <c r="P36" i="1"/>
  <c r="O36" i="1"/>
  <c r="J36" i="1"/>
  <c r="I36" i="1"/>
  <c r="P35" i="1"/>
  <c r="O35" i="1"/>
  <c r="J35" i="1"/>
  <c r="I35" i="1"/>
  <c r="P34" i="1"/>
  <c r="O34" i="1"/>
  <c r="J34" i="1"/>
  <c r="I34" i="1"/>
  <c r="P33" i="1"/>
  <c r="O33" i="1"/>
  <c r="J33" i="1"/>
  <c r="I33" i="1"/>
  <c r="P32" i="1"/>
  <c r="O32" i="1"/>
  <c r="J32" i="1"/>
  <c r="I32" i="1"/>
  <c r="P31" i="1"/>
  <c r="O31" i="1"/>
  <c r="J31" i="1"/>
  <c r="I31" i="1"/>
  <c r="P30" i="1"/>
  <c r="O30" i="1"/>
  <c r="J30" i="1"/>
  <c r="I30" i="1"/>
  <c r="P29" i="1"/>
  <c r="O29" i="1"/>
  <c r="J29" i="1"/>
  <c r="I29" i="1"/>
  <c r="P28" i="1"/>
  <c r="O28" i="1"/>
  <c r="J28" i="1"/>
  <c r="I28" i="1"/>
  <c r="P27" i="1"/>
  <c r="O27" i="1"/>
  <c r="J27" i="1"/>
  <c r="I27" i="1"/>
  <c r="P26" i="1"/>
  <c r="O26" i="1"/>
  <c r="J26" i="1"/>
  <c r="I26" i="1"/>
  <c r="P25" i="1"/>
  <c r="O25" i="1"/>
  <c r="J25" i="1"/>
  <c r="I25" i="1"/>
  <c r="P24" i="1"/>
  <c r="O24" i="1"/>
  <c r="J24" i="1"/>
  <c r="I24" i="1"/>
  <c r="P23" i="1"/>
  <c r="O23" i="1"/>
  <c r="J23" i="1"/>
  <c r="I23" i="1"/>
  <c r="P22" i="1"/>
  <c r="O22" i="1"/>
  <c r="J22" i="1"/>
  <c r="I22" i="1"/>
  <c r="P21" i="1"/>
  <c r="O21" i="1"/>
  <c r="J21" i="1"/>
  <c r="I21" i="1"/>
  <c r="P20" i="1"/>
  <c r="O20" i="1"/>
  <c r="J20" i="1"/>
  <c r="I20" i="1"/>
  <c r="P19" i="1"/>
  <c r="O19" i="1"/>
  <c r="J19" i="1"/>
  <c r="I19" i="1"/>
  <c r="P18" i="1"/>
  <c r="O18" i="1"/>
  <c r="J18" i="1"/>
  <c r="I18" i="1"/>
  <c r="AJ17" i="1" a="1"/>
  <c r="AJ17" i="1" s="1"/>
  <c r="AI17" i="1" a="1"/>
  <c r="AI17" i="1" s="1"/>
  <c r="AA17" i="1"/>
  <c r="Z17" i="1"/>
  <c r="W17" i="1"/>
  <c r="V17" i="1"/>
  <c r="S17" i="1"/>
  <c r="AH17" i="1" s="1"/>
  <c r="R17" i="1"/>
  <c r="AG17" i="1" s="1"/>
  <c r="P17" i="1"/>
  <c r="O17" i="1"/>
  <c r="J17" i="1"/>
  <c r="I17" i="1"/>
  <c r="AJ16" i="1" a="1"/>
  <c r="AJ16" i="1" s="1"/>
  <c r="AI16" i="1" a="1"/>
  <c r="AI16" i="1" s="1"/>
  <c r="AA16" i="1"/>
  <c r="Z16" i="1"/>
  <c r="W16" i="1"/>
  <c r="V16" i="1"/>
  <c r="S16" i="1"/>
  <c r="AH16" i="1" s="1"/>
  <c r="R16" i="1"/>
  <c r="AG16" i="1" s="1"/>
  <c r="P16" i="1"/>
  <c r="O16" i="1"/>
  <c r="J16" i="1"/>
  <c r="I16" i="1"/>
  <c r="AE15" i="1"/>
  <c r="AD15" i="1"/>
  <c r="AA15" i="1"/>
  <c r="Z15" i="1"/>
  <c r="W15" i="1"/>
  <c r="V15" i="1"/>
  <c r="P15" i="1"/>
  <c r="AE16" i="1" s="1"/>
  <c r="O15" i="1"/>
  <c r="J15" i="1"/>
  <c r="AD16" i="1" s="1"/>
  <c r="I15" i="1"/>
  <c r="AI14" i="1" a="1"/>
  <c r="AI14" i="1" s="1"/>
  <c r="AA14" i="1"/>
  <c r="Z14" i="1"/>
  <c r="W14" i="1"/>
  <c r="V14" i="1"/>
  <c r="P14" i="1"/>
  <c r="O14" i="1"/>
  <c r="J14" i="1"/>
  <c r="I14" i="1"/>
  <c r="AI13" i="1" a="1"/>
  <c r="AI13" i="1" s="1"/>
  <c r="W13" i="1"/>
  <c r="V13" i="1"/>
  <c r="S13" i="1"/>
  <c r="R13" i="1"/>
  <c r="P13" i="1"/>
  <c r="O13" i="1"/>
  <c r="J13" i="1"/>
  <c r="I13" i="1"/>
  <c r="AJ12" i="1" a="1"/>
  <c r="AJ12" i="1" s="1"/>
  <c r="AI12" i="1" a="1"/>
  <c r="AI12" i="1" s="1"/>
  <c r="AA12" i="1"/>
  <c r="Z12" i="1"/>
  <c r="W12" i="1"/>
  <c r="V12" i="1"/>
  <c r="S12" i="1"/>
  <c r="AH12" i="1" s="1"/>
  <c r="R12" i="1"/>
  <c r="AG12" i="1" s="1"/>
  <c r="P12" i="1"/>
  <c r="AE13" i="1" s="1"/>
  <c r="O12" i="1"/>
  <c r="J12" i="1"/>
  <c r="AD13" i="1" s="1"/>
  <c r="I12" i="1"/>
  <c r="AI11" i="1" a="1"/>
  <c r="AI11" i="1" s="1"/>
  <c r="AE11" i="1"/>
  <c r="AD11" i="1"/>
  <c r="AA11" i="1"/>
  <c r="Z11" i="1"/>
  <c r="S11" i="1"/>
  <c r="R11" i="1"/>
  <c r="P11" i="1"/>
  <c r="S14" i="1" s="1"/>
  <c r="AH14" i="1" s="1"/>
  <c r="O11" i="1"/>
  <c r="J11" i="1"/>
  <c r="R14" i="1" s="1"/>
  <c r="AG14" i="1" s="1"/>
  <c r="I11" i="1"/>
  <c r="AJ10" i="1" a="1"/>
  <c r="AJ10" i="1" s="1"/>
  <c r="AI10" i="1" a="1"/>
  <c r="AI10" i="1" s="1"/>
  <c r="AA10" i="1"/>
  <c r="Z10" i="1"/>
  <c r="W10" i="1"/>
  <c r="V10" i="1"/>
  <c r="P10" i="1"/>
  <c r="O10" i="1"/>
  <c r="J10" i="1"/>
  <c r="I10" i="1"/>
  <c r="AJ9" i="1" a="1"/>
  <c r="AJ9" i="1" s="1"/>
  <c r="AI9" i="1" a="1"/>
  <c r="AI9" i="1" s="1"/>
  <c r="AE9" i="1"/>
  <c r="AD9" i="1"/>
  <c r="AA9" i="1"/>
  <c r="Z9" i="1"/>
  <c r="W9" i="1"/>
  <c r="V9" i="1"/>
  <c r="S9" i="1"/>
  <c r="AH9" i="1" s="1"/>
  <c r="R9" i="1"/>
  <c r="AG9" i="1" s="1"/>
  <c r="P9" i="1"/>
  <c r="O9" i="1"/>
  <c r="J9" i="1"/>
  <c r="I9" i="1"/>
  <c r="AJ8" i="1" a="1"/>
  <c r="AJ8" i="1" s="1"/>
  <c r="AI8" i="1" a="1"/>
  <c r="AI8" i="1" s="1"/>
  <c r="AE8" i="1"/>
  <c r="AD8" i="1"/>
  <c r="AA8" i="1"/>
  <c r="Z8" i="1"/>
  <c r="W8" i="1"/>
  <c r="V8" i="1"/>
  <c r="S8" i="1"/>
  <c r="AH8" i="1" s="1"/>
  <c r="R8" i="1"/>
  <c r="AG8" i="1" s="1"/>
  <c r="P8" i="1"/>
  <c r="O8" i="1"/>
  <c r="J8" i="1"/>
  <c r="I8" i="1"/>
  <c r="AJ7" i="1" a="1"/>
  <c r="AJ7" i="1" s="1"/>
  <c r="AI7" i="1" a="1"/>
  <c r="AI7" i="1" s="1"/>
  <c r="AA7" i="1"/>
  <c r="Z7" i="1"/>
  <c r="W7" i="1"/>
  <c r="V7" i="1"/>
  <c r="S7" i="1"/>
  <c r="AH7" i="1" s="1"/>
  <c r="R7" i="1"/>
  <c r="AG7" i="1" s="1"/>
  <c r="P7" i="1"/>
  <c r="AE10" i="1" s="1"/>
  <c r="O7" i="1"/>
  <c r="J7" i="1"/>
  <c r="AD10" i="1" s="1"/>
  <c r="I7" i="1"/>
  <c r="AJ6" i="1" a="1"/>
  <c r="AJ6" i="1" s="1"/>
  <c r="AI6" i="1" a="1"/>
  <c r="AI6" i="1" s="1"/>
  <c r="AE6" i="1"/>
  <c r="AD6" i="1"/>
  <c r="AA6" i="1"/>
  <c r="Z6" i="1"/>
  <c r="W6" i="1"/>
  <c r="V6" i="1"/>
  <c r="S6" i="1"/>
  <c r="AH6" i="1" s="1"/>
  <c r="R6" i="1"/>
  <c r="AG6" i="1" s="1"/>
  <c r="P6" i="1"/>
  <c r="AE7" i="1" s="1"/>
  <c r="O6" i="1"/>
  <c r="J6" i="1"/>
  <c r="AD7" i="1" s="1"/>
  <c r="I6" i="1"/>
  <c r="AJ5" i="1" a="1"/>
  <c r="AJ5" i="1" s="1"/>
  <c r="AI5" i="1" a="1"/>
  <c r="AI5" i="1" s="1"/>
  <c r="AE5" i="1"/>
  <c r="AD5" i="1"/>
  <c r="AA5" i="1"/>
  <c r="Z5" i="1"/>
  <c r="W5" i="1"/>
  <c r="V5" i="1"/>
  <c r="S5" i="1"/>
  <c r="AH5" i="1" s="1"/>
  <c r="R5" i="1"/>
  <c r="AG5" i="1" s="1"/>
  <c r="P5" i="1"/>
  <c r="O5" i="1"/>
  <c r="J5" i="1"/>
  <c r="I5" i="1"/>
  <c r="AJ4" i="1" a="1"/>
  <c r="AJ4" i="1" s="1"/>
  <c r="AI4" i="1" a="1"/>
  <c r="AI4" i="1" s="1"/>
  <c r="AE4" i="1"/>
  <c r="AD4" i="1"/>
  <c r="AA4" i="1"/>
  <c r="Z4" i="1"/>
  <c r="W4" i="1"/>
  <c r="V4" i="1"/>
  <c r="S4" i="1"/>
  <c r="AH4" i="1" s="1"/>
  <c r="R4" i="1"/>
  <c r="AG4" i="1" s="1"/>
  <c r="P4" i="1"/>
  <c r="O4" i="1"/>
  <c r="J4" i="1"/>
  <c r="I4" i="1"/>
  <c r="AI15" i="1" s="1" a="1"/>
  <c r="AI15" i="1" s="1"/>
  <c r="AJ3" i="1" a="1"/>
  <c r="AJ3" i="1" s="1"/>
  <c r="AI3" i="1" a="1"/>
  <c r="AI3" i="1" s="1"/>
  <c r="AE3" i="1"/>
  <c r="AD3" i="1"/>
  <c r="AA3" i="1"/>
  <c r="Z3" i="1"/>
  <c r="W3" i="1"/>
  <c r="V3" i="1"/>
  <c r="P3" i="1"/>
  <c r="O3" i="1"/>
  <c r="J3" i="1"/>
  <c r="I3" i="1"/>
  <c r="AE12" i="1" l="1"/>
  <c r="S10" i="1"/>
  <c r="AH10" i="1" s="1"/>
  <c r="AD12" i="1"/>
  <c r="R10" i="1"/>
  <c r="AG10" i="1" s="1"/>
  <c r="W11" i="1"/>
  <c r="AH11" i="1" s="1"/>
  <c r="AA13" i="1"/>
  <c r="AH13" i="1" s="1"/>
  <c r="AJ11" i="1" a="1"/>
  <c r="AJ11" i="1" s="1"/>
  <c r="AJ13" i="1" a="1"/>
  <c r="AJ13" i="1" s="1"/>
  <c r="V11" i="1"/>
  <c r="AG11" i="1" s="1"/>
  <c r="Z13" i="1"/>
  <c r="AG13" i="1" s="1"/>
  <c r="S15" i="1"/>
  <c r="AH15" i="1" s="1"/>
  <c r="AE14" i="1"/>
  <c r="AJ14" i="1" a="1"/>
  <c r="AJ14" i="1" s="1"/>
  <c r="AJ15" i="1" a="1"/>
  <c r="AJ15" i="1" s="1"/>
  <c r="R15" i="1"/>
  <c r="AG15" i="1" s="1"/>
  <c r="AD14" i="1"/>
  <c r="S3" i="1"/>
  <c r="AH3" i="1" s="1"/>
  <c r="AE17" i="1"/>
  <c r="L555" i="1" a="1"/>
  <c r="L555" i="1" s="1"/>
  <c r="L411" i="1" a="1"/>
  <c r="L411" i="1" s="1"/>
  <c r="L554" i="1" a="1"/>
  <c r="L554" i="1" s="1"/>
  <c r="L552" i="1" a="1"/>
  <c r="L552" i="1" s="1"/>
  <c r="L404" i="1" a="1"/>
  <c r="L404" i="1" s="1"/>
  <c r="L548" i="1" a="1"/>
  <c r="L548" i="1" s="1"/>
  <c r="L398" i="1" a="1"/>
  <c r="L398" i="1" s="1"/>
  <c r="L543" i="1" a="1"/>
  <c r="L543" i="1" s="1"/>
  <c r="L541" i="1" a="1"/>
  <c r="L541" i="1" s="1"/>
  <c r="L392" i="1" a="1"/>
  <c r="L392" i="1" s="1"/>
  <c r="L534" i="1" a="1"/>
  <c r="L534" i="1" s="1"/>
  <c r="L529" i="1" a="1"/>
  <c r="L529" i="1" s="1"/>
  <c r="L525" i="1" a="1"/>
  <c r="L525" i="1" s="1"/>
  <c r="L520" i="1" a="1"/>
  <c r="L520" i="1" s="1"/>
  <c r="L386" i="1" a="1"/>
  <c r="L386" i="1" s="1"/>
  <c r="L369" i="1" a="1"/>
  <c r="L369" i="1" s="1"/>
  <c r="L347" i="1" a="1"/>
  <c r="L347" i="1" s="1"/>
  <c r="L341" i="1" a="1"/>
  <c r="L341" i="1" s="1"/>
  <c r="L334" i="1" a="1"/>
  <c r="L334" i="1" s="1"/>
  <c r="L487" i="1" a="1"/>
  <c r="L487" i="1" s="1"/>
  <c r="L309" i="1" a="1"/>
  <c r="L309" i="1" s="1"/>
  <c r="L301" i="1" a="1"/>
  <c r="L301" i="1" s="1"/>
  <c r="L254" i="1" a="1"/>
  <c r="L254" i="1" s="1"/>
  <c r="L247" i="1" a="1"/>
  <c r="L247" i="1" s="1"/>
  <c r="L242" i="1" a="1"/>
  <c r="L242" i="1" s="1"/>
  <c r="L209" i="1" a="1"/>
  <c r="L209" i="1" s="1"/>
  <c r="L204" i="1" a="1"/>
  <c r="L204" i="1" s="1"/>
  <c r="L403" i="1" a="1"/>
  <c r="L403" i="1" s="1"/>
  <c r="L187" i="1" a="1"/>
  <c r="L187" i="1" s="1"/>
  <c r="L139" i="1" a="1"/>
  <c r="L139" i="1" s="1"/>
  <c r="L134" i="1" a="1"/>
  <c r="L134" i="1" s="1"/>
  <c r="L371" i="1" a="1"/>
  <c r="L371" i="1" s="1"/>
  <c r="L346" i="1" a="1"/>
  <c r="L346" i="1" s="1"/>
  <c r="L338" i="1" a="1"/>
  <c r="L338" i="1" s="1"/>
  <c r="L332" i="1" a="1"/>
  <c r="L332" i="1" s="1"/>
  <c r="L324" i="1" a="1"/>
  <c r="L324" i="1" s="1"/>
  <c r="L317" i="1" a="1"/>
  <c r="L317" i="1" s="1"/>
  <c r="L307" i="1" a="1"/>
  <c r="L307" i="1" s="1"/>
  <c r="L300" i="1" a="1"/>
  <c r="L300" i="1" s="1"/>
  <c r="L126" i="1" a="1"/>
  <c r="L126" i="1" s="1"/>
  <c r="L287" i="1" a="1"/>
  <c r="L287" i="1" s="1"/>
  <c r="L281" i="1" a="1"/>
  <c r="L281" i="1" s="1"/>
  <c r="L121" i="1" a="1"/>
  <c r="L121" i="1" s="1"/>
  <c r="L115" i="1" a="1"/>
  <c r="L115" i="1" s="1"/>
  <c r="L262" i="1" a="1"/>
  <c r="L262" i="1" s="1"/>
  <c r="L100" i="1" a="1"/>
  <c r="L100" i="1" s="1"/>
  <c r="L550" i="1" a="1"/>
  <c r="L550" i="1" s="1"/>
  <c r="L243" i="1" a="1"/>
  <c r="L243" i="1" s="1"/>
  <c r="L516" i="1" a="1"/>
  <c r="L516" i="1" s="1"/>
  <c r="L475" i="1" a="1"/>
  <c r="L475" i="1" s="1"/>
  <c r="L463" i="1" a="1"/>
  <c r="L463" i="1" s="1"/>
  <c r="L219" i="1" a="1"/>
  <c r="L219" i="1" s="1"/>
  <c r="L449" i="1" a="1"/>
  <c r="L449" i="1" s="1"/>
  <c r="L413" i="1" a="1"/>
  <c r="L413" i="1" s="1"/>
  <c r="L199" i="1" a="1"/>
  <c r="L199" i="1" s="1"/>
  <c r="L193" i="1" a="1"/>
  <c r="L193" i="1" s="1"/>
  <c r="L186" i="1" a="1"/>
  <c r="L186" i="1" s="1"/>
  <c r="L180" i="1" a="1"/>
  <c r="L180" i="1" s="1"/>
  <c r="L406" i="1" a="1"/>
  <c r="L406" i="1" s="1"/>
  <c r="L394" i="1" a="1"/>
  <c r="L394" i="1" s="1"/>
  <c r="L372" i="1" a="1"/>
  <c r="L372" i="1" s="1"/>
  <c r="L108" i="1" a="1"/>
  <c r="L108" i="1" s="1"/>
  <c r="L103" i="1" a="1"/>
  <c r="L103" i="1" s="1"/>
  <c r="L344" i="1" a="1"/>
  <c r="L344" i="1" s="1"/>
  <c r="L95" i="1" a="1"/>
  <c r="L95" i="1" s="1"/>
  <c r="L331" i="1" a="1"/>
  <c r="L331" i="1" s="1"/>
  <c r="L325" i="1" a="1"/>
  <c r="L325" i="1" s="1"/>
  <c r="L319" i="1" a="1"/>
  <c r="L319" i="1" s="1"/>
  <c r="L461" i="1" a="1"/>
  <c r="L461" i="1" s="1"/>
  <c r="L306" i="1" a="1"/>
  <c r="L306" i="1" s="1"/>
  <c r="L460" i="1" a="1"/>
  <c r="L460" i="1" s="1"/>
  <c r="L266" i="1" a="1"/>
  <c r="L266" i="1" s="1"/>
  <c r="L459" i="1" a="1"/>
  <c r="L459" i="1" s="1"/>
  <c r="L260" i="1" a="1"/>
  <c r="L260" i="1" s="1"/>
  <c r="L458" i="1" a="1"/>
  <c r="L458" i="1" s="1"/>
  <c r="L237" i="1" a="1"/>
  <c r="L237" i="1" s="1"/>
  <c r="L457" i="1" a="1"/>
  <c r="L457" i="1" s="1"/>
  <c r="L218" i="1" a="1"/>
  <c r="L218" i="1" s="1"/>
  <c r="L456" i="1" a="1"/>
  <c r="L456" i="1" s="1"/>
  <c r="L213" i="1" a="1"/>
  <c r="L213" i="1" s="1"/>
  <c r="L455" i="1" a="1"/>
  <c r="L455" i="1" s="1"/>
  <c r="L208" i="1" a="1"/>
  <c r="L208" i="1" s="1"/>
  <c r="L454" i="1" a="1"/>
  <c r="L454" i="1" s="1"/>
  <c r="L453" i="1" a="1"/>
  <c r="L453" i="1" s="1"/>
  <c r="L445" i="1" a="1"/>
  <c r="L445" i="1" s="1"/>
  <c r="L201" i="1" a="1"/>
  <c r="L201" i="1" s="1"/>
  <c r="L195" i="1" a="1"/>
  <c r="L195" i="1" s="1"/>
  <c r="L421" i="1" a="1"/>
  <c r="L421" i="1" s="1"/>
  <c r="L133" i="1" a="1"/>
  <c r="L133" i="1" s="1"/>
  <c r="L405" i="1" a="1"/>
  <c r="L405" i="1" s="1"/>
  <c r="L123" i="1" a="1"/>
  <c r="L123" i="1" s="1"/>
  <c r="L112" i="1" a="1"/>
  <c r="L112" i="1" s="1"/>
  <c r="L107" i="1" a="1"/>
  <c r="L107" i="1" s="1"/>
  <c r="L89" i="1" a="1"/>
  <c r="L89" i="1" s="1"/>
  <c r="L348" i="1" a="1"/>
  <c r="L348" i="1" s="1"/>
  <c r="L340" i="1" a="1"/>
  <c r="L340" i="1" s="1"/>
  <c r="L333" i="1" a="1"/>
  <c r="L333" i="1" s="1"/>
  <c r="L326" i="1" a="1"/>
  <c r="L326" i="1" s="1"/>
  <c r="L12" i="1" a="1"/>
  <c r="L12" i="1" s="1"/>
  <c r="L5" i="1" a="1"/>
  <c r="L5" i="1" s="1"/>
  <c r="L304" i="1" a="1"/>
  <c r="L304" i="1" s="1"/>
  <c r="L296" i="1" a="1"/>
  <c r="L296" i="1" s="1"/>
  <c r="L289" i="1" a="1"/>
  <c r="L289" i="1" s="1"/>
  <c r="L284" i="1" a="1"/>
  <c r="L284" i="1" s="1"/>
  <c r="L551" i="1" a="1"/>
  <c r="L551" i="1" s="1"/>
  <c r="L270" i="1" a="1"/>
  <c r="L270" i="1" s="1"/>
  <c r="L264" i="1" a="1"/>
  <c r="L264" i="1" s="1"/>
  <c r="L258" i="1" a="1"/>
  <c r="L258" i="1" s="1"/>
  <c r="L251" i="1" a="1"/>
  <c r="L251" i="1" s="1"/>
  <c r="L524" i="1" a="1"/>
  <c r="L524" i="1" s="1"/>
  <c r="L239" i="1" a="1"/>
  <c r="L239" i="1" s="1"/>
  <c r="L230" i="1" a="1"/>
  <c r="L230" i="1" s="1"/>
  <c r="L224" i="1" a="1"/>
  <c r="L224" i="1" s="1"/>
  <c r="L515" i="1" a="1"/>
  <c r="L515" i="1" s="1"/>
  <c r="L210" i="1" a="1"/>
  <c r="L210" i="1" s="1"/>
  <c r="L203" i="1" a="1"/>
  <c r="L203" i="1" s="1"/>
  <c r="L501" i="1" a="1"/>
  <c r="L501" i="1" s="1"/>
  <c r="L188" i="1" a="1"/>
  <c r="L188" i="1" s="1"/>
  <c r="L492" i="1" a="1"/>
  <c r="L492" i="1" s="1"/>
  <c r="L136" i="1" a="1"/>
  <c r="L136" i="1" s="1"/>
  <c r="L464" i="1" a="1"/>
  <c r="L464" i="1" s="1"/>
  <c r="L450" i="1" a="1"/>
  <c r="L450" i="1" s="1"/>
  <c r="L444" i="1" a="1"/>
  <c r="L444" i="1" s="1"/>
  <c r="L111" i="1" a="1"/>
  <c r="L111" i="1" s="1"/>
  <c r="L104" i="1" a="1"/>
  <c r="L104" i="1" s="1"/>
  <c r="L438" i="1" a="1"/>
  <c r="L438" i="1" s="1"/>
  <c r="L431" i="1" a="1"/>
  <c r="L431" i="1" s="1"/>
  <c r="L367" i="1" a="1"/>
  <c r="L367" i="1" s="1"/>
  <c r="L425" i="1" a="1"/>
  <c r="L425" i="1" s="1"/>
  <c r="L366" i="1" a="1"/>
  <c r="L366" i="1" s="1"/>
  <c r="L412" i="1" a="1"/>
  <c r="L412" i="1" s="1"/>
  <c r="L365" i="1" a="1"/>
  <c r="L365" i="1" s="1"/>
  <c r="L393" i="1" a="1"/>
  <c r="L393" i="1" s="1"/>
  <c r="L364" i="1" a="1"/>
  <c r="L364" i="1" s="1"/>
  <c r="L385" i="1" a="1"/>
  <c r="L385" i="1" s="1"/>
  <c r="L363" i="1" a="1"/>
  <c r="L363" i="1" s="1"/>
  <c r="L362" i="1" a="1"/>
  <c r="L362" i="1" s="1"/>
  <c r="L379" i="1" a="1"/>
  <c r="L379" i="1" s="1"/>
  <c r="L361" i="1" a="1"/>
  <c r="L361" i="1" s="1"/>
  <c r="L343" i="1" a="1"/>
  <c r="L343" i="1" s="1"/>
  <c r="L360" i="1" a="1"/>
  <c r="L360" i="1" s="1"/>
  <c r="L336" i="1" a="1"/>
  <c r="L336" i="1" s="1"/>
  <c r="L359" i="1" a="1"/>
  <c r="L359" i="1" s="1"/>
  <c r="L329" i="1" a="1"/>
  <c r="L329" i="1" s="1"/>
  <c r="L358" i="1" a="1"/>
  <c r="L358" i="1" s="1"/>
  <c r="L321" i="1" a="1"/>
  <c r="L321" i="1" s="1"/>
  <c r="L357" i="1" a="1"/>
  <c r="L357" i="1" s="1"/>
  <c r="L303" i="1" a="1"/>
  <c r="L303" i="1" s="1"/>
  <c r="L356" i="1" a="1"/>
  <c r="L356" i="1" s="1"/>
  <c r="L291" i="1" a="1"/>
  <c r="L291" i="1" s="1"/>
  <c r="L355" i="1" a="1"/>
  <c r="L355" i="1" s="1"/>
  <c r="L285" i="1" a="1"/>
  <c r="L285" i="1" s="1"/>
  <c r="L354" i="1" a="1"/>
  <c r="L354" i="1" s="1"/>
  <c r="L278" i="1" a="1"/>
  <c r="L278" i="1" s="1"/>
  <c r="L353" i="1" a="1"/>
  <c r="L353" i="1" s="1"/>
  <c r="L272" i="1" a="1"/>
  <c r="L272" i="1" s="1"/>
  <c r="L352" i="1" a="1"/>
  <c r="L352" i="1" s="1"/>
  <c r="L252" i="1" a="1"/>
  <c r="L252" i="1" s="1"/>
  <c r="L351" i="1" a="1"/>
  <c r="L351" i="1" s="1"/>
  <c r="L246" i="1" a="1"/>
  <c r="L246" i="1" s="1"/>
  <c r="L235" i="1" a="1"/>
  <c r="L235" i="1" s="1"/>
  <c r="L335" i="1" a="1"/>
  <c r="L335" i="1" s="1"/>
  <c r="L211" i="1" a="1"/>
  <c r="L211" i="1" s="1"/>
  <c r="L322" i="1" a="1"/>
  <c r="L322" i="1" s="1"/>
  <c r="L315" i="1" a="1"/>
  <c r="L315" i="1" s="1"/>
  <c r="L310" i="1" a="1"/>
  <c r="L310" i="1" s="1"/>
  <c r="L302" i="1" a="1"/>
  <c r="L302" i="1" s="1"/>
  <c r="L294" i="1" a="1"/>
  <c r="L294" i="1" s="1"/>
  <c r="L183" i="1" a="1"/>
  <c r="L183" i="1" s="1"/>
  <c r="L117" i="1" a="1"/>
  <c r="L117" i="1" s="1"/>
  <c r="L274" i="1" a="1"/>
  <c r="L274" i="1" s="1"/>
  <c r="L102" i="1" a="1"/>
  <c r="L102" i="1" s="1"/>
  <c r="L522" i="1" a="1"/>
  <c r="L522" i="1" s="1"/>
  <c r="L253" i="1" a="1"/>
  <c r="L253" i="1" s="1"/>
  <c r="L495" i="1" a="1"/>
  <c r="L495" i="1" s="1"/>
  <c r="L469" i="1" a="1"/>
  <c r="L469" i="1" s="1"/>
  <c r="L428" i="1" a="1"/>
  <c r="L428" i="1" s="1"/>
  <c r="L229" i="1" a="1"/>
  <c r="L229" i="1" s="1"/>
  <c r="L222" i="1" a="1"/>
  <c r="L222" i="1" s="1"/>
  <c r="L215" i="1" a="1"/>
  <c r="L215" i="1" s="1"/>
  <c r="L420" i="1" a="1"/>
  <c r="L420" i="1" s="1"/>
  <c r="L202" i="1" a="1"/>
  <c r="L202" i="1" s="1"/>
  <c r="L397" i="1" a="1"/>
  <c r="L397" i="1" s="1"/>
  <c r="L190" i="1" a="1"/>
  <c r="L190" i="1" s="1"/>
  <c r="L380" i="1" a="1"/>
  <c r="L380" i="1" s="1"/>
  <c r="L138" i="1" a="1"/>
  <c r="L138" i="1" s="1"/>
  <c r="L345" i="1" a="1"/>
  <c r="L345" i="1" s="1"/>
  <c r="L339" i="1" a="1"/>
  <c r="L339" i="1" s="1"/>
  <c r="L114" i="1" a="1"/>
  <c r="L114" i="1" s="1"/>
  <c r="L318" i="1" a="1"/>
  <c r="L318" i="1" s="1"/>
  <c r="L311" i="1" a="1"/>
  <c r="L311" i="1" s="1"/>
  <c r="L96" i="1" a="1"/>
  <c r="L96" i="1" s="1"/>
  <c r="L92" i="1" a="1"/>
  <c r="L92" i="1" s="1"/>
  <c r="L295" i="1" a="1"/>
  <c r="L295" i="1" s="1"/>
  <c r="AD17" i="1"/>
  <c r="L273" i="1" a="1"/>
  <c r="L273" i="1" s="1"/>
  <c r="L265" i="1" a="1"/>
  <c r="L265" i="1" s="1"/>
  <c r="L257" i="1" a="1"/>
  <c r="L257" i="1" s="1"/>
  <c r="L267" i="1" a="1"/>
  <c r="L267" i="1" s="1"/>
  <c r="L241" i="1" a="1"/>
  <c r="L241" i="1" s="1"/>
  <c r="L259" i="1" a="1"/>
  <c r="L259" i="1" s="1"/>
  <c r="L245" i="1" a="1"/>
  <c r="L245" i="1" s="1"/>
  <c r="L233" i="1" a="1"/>
  <c r="L233" i="1" s="1"/>
  <c r="L225" i="1" a="1"/>
  <c r="L225" i="1" s="1"/>
  <c r="L206" i="1" a="1"/>
  <c r="L206" i="1" s="1"/>
  <c r="L212" i="1" a="1"/>
  <c r="L212" i="1" s="1"/>
  <c r="L198" i="1" a="1"/>
  <c r="L198" i="1" s="1"/>
  <c r="L192" i="1" a="1"/>
  <c r="L192" i="1" s="1"/>
  <c r="L185" i="1" a="1"/>
  <c r="L185" i="1" s="1"/>
  <c r="L140" i="1" a="1"/>
  <c r="L140" i="1" s="1"/>
  <c r="L119" i="1" a="1"/>
  <c r="L119" i="1" s="1"/>
  <c r="L97" i="1" a="1"/>
  <c r="L97" i="1" s="1"/>
  <c r="L90" i="1" a="1"/>
  <c r="L90" i="1" s="1"/>
  <c r="L113" i="1" a="1"/>
  <c r="L113" i="1" s="1"/>
  <c r="L7" i="1" a="1"/>
  <c r="L7" i="1" s="1"/>
  <c r="L109" i="1" a="1"/>
  <c r="L109" i="1" s="1"/>
  <c r="L179" i="1" a="1"/>
  <c r="L179" i="1" s="1"/>
  <c r="L105" i="1" a="1"/>
  <c r="L105" i="1" s="1"/>
  <c r="L178" i="1" a="1"/>
  <c r="L178" i="1" s="1"/>
  <c r="L101" i="1" a="1"/>
  <c r="L101" i="1" s="1"/>
  <c r="L177" i="1" a="1"/>
  <c r="L177" i="1" s="1"/>
  <c r="L88" i="1" a="1"/>
  <c r="L88" i="1" s="1"/>
  <c r="L176" i="1" a="1"/>
  <c r="L176" i="1" s="1"/>
  <c r="L11" i="1" a="1"/>
  <c r="L11" i="1" s="1"/>
  <c r="L175" i="1" a="1"/>
  <c r="L175" i="1" s="1"/>
  <c r="L10" i="1" a="1"/>
  <c r="L10" i="1" s="1"/>
  <c r="L174" i="1" a="1"/>
  <c r="L174" i="1" s="1"/>
  <c r="L537" i="1" a="1"/>
  <c r="L537" i="1" s="1"/>
  <c r="L173" i="1" a="1"/>
  <c r="L173" i="1" s="1"/>
  <c r="L533" i="1" a="1"/>
  <c r="L533" i="1" s="1"/>
  <c r="L172" i="1" a="1"/>
  <c r="L172" i="1" s="1"/>
  <c r="L530" i="1" a="1"/>
  <c r="L530" i="1" s="1"/>
  <c r="L171" i="1" a="1"/>
  <c r="L171" i="1" s="1"/>
  <c r="L511" i="1" a="1"/>
  <c r="L511" i="1" s="1"/>
  <c r="L170" i="1" a="1"/>
  <c r="L170" i="1" s="1"/>
  <c r="L503" i="1" a="1"/>
  <c r="L503" i="1" s="1"/>
  <c r="L169" i="1" a="1"/>
  <c r="L169" i="1" s="1"/>
  <c r="L540" i="1" a="1"/>
  <c r="L540" i="1" s="1"/>
  <c r="L168" i="1" a="1"/>
  <c r="L168" i="1" s="1"/>
  <c r="L536" i="1" a="1"/>
  <c r="L536" i="1" s="1"/>
  <c r="L167" i="1" a="1"/>
  <c r="L167" i="1" s="1"/>
  <c r="L514" i="1" a="1"/>
  <c r="L514" i="1" s="1"/>
  <c r="L166" i="1" a="1"/>
  <c r="L166" i="1" s="1"/>
  <c r="L508" i="1" a="1"/>
  <c r="L508" i="1" s="1"/>
  <c r="L165" i="1" a="1"/>
  <c r="L165" i="1" s="1"/>
  <c r="L496" i="1" a="1"/>
  <c r="L496" i="1" s="1"/>
  <c r="L164" i="1" a="1"/>
  <c r="L164" i="1" s="1"/>
  <c r="L490" i="1" a="1"/>
  <c r="L490" i="1" s="1"/>
  <c r="L163" i="1" a="1"/>
  <c r="L163" i="1" s="1"/>
  <c r="L479" i="1" a="1"/>
  <c r="L479" i="1" s="1"/>
  <c r="L162" i="1" a="1"/>
  <c r="L162" i="1" s="1"/>
  <c r="L468" i="1" a="1"/>
  <c r="L468" i="1" s="1"/>
  <c r="L161" i="1" a="1"/>
  <c r="L161" i="1" s="1"/>
  <c r="L440" i="1" a="1"/>
  <c r="L440" i="1" s="1"/>
  <c r="L160" i="1" a="1"/>
  <c r="L160" i="1" s="1"/>
  <c r="L434" i="1" a="1"/>
  <c r="L434" i="1" s="1"/>
  <c r="L159" i="1" a="1"/>
  <c r="L159" i="1" s="1"/>
  <c r="L416" i="1" a="1"/>
  <c r="L416" i="1" s="1"/>
  <c r="L158" i="1" a="1"/>
  <c r="L158" i="1" s="1"/>
  <c r="L391" i="1" a="1"/>
  <c r="L391" i="1" s="1"/>
  <c r="L157" i="1" a="1"/>
  <c r="L157" i="1" s="1"/>
  <c r="L384" i="1" a="1"/>
  <c r="L384" i="1" s="1"/>
  <c r="L156" i="1" a="1"/>
  <c r="L156" i="1" s="1"/>
  <c r="L375" i="1" a="1"/>
  <c r="L375" i="1" s="1"/>
  <c r="L155" i="1" a="1"/>
  <c r="L155" i="1" s="1"/>
  <c r="L312" i="1" a="1"/>
  <c r="L312" i="1" s="1"/>
  <c r="L154" i="1" a="1"/>
  <c r="L154" i="1" s="1"/>
  <c r="L305" i="1" a="1"/>
  <c r="L305" i="1" s="1"/>
  <c r="L153" i="1" a="1"/>
  <c r="L153" i="1" s="1"/>
  <c r="L286" i="1" a="1"/>
  <c r="L286" i="1" s="1"/>
  <c r="L152" i="1" a="1"/>
  <c r="L152" i="1" s="1"/>
  <c r="L280" i="1" a="1"/>
  <c r="L280" i="1" s="1"/>
  <c r="L151" i="1" a="1"/>
  <c r="L151" i="1" s="1"/>
  <c r="L271" i="1" a="1"/>
  <c r="L271" i="1" s="1"/>
  <c r="L150" i="1" a="1"/>
  <c r="L150" i="1" s="1"/>
  <c r="L238" i="1" a="1"/>
  <c r="L238" i="1" s="1"/>
  <c r="L149" i="1" a="1"/>
  <c r="L149" i="1" s="1"/>
  <c r="L220" i="1" a="1"/>
  <c r="L220" i="1" s="1"/>
  <c r="L148" i="1" a="1"/>
  <c r="L148" i="1" s="1"/>
  <c r="L214" i="1" a="1"/>
  <c r="L214" i="1" s="1"/>
  <c r="L147" i="1" a="1"/>
  <c r="L147" i="1" s="1"/>
  <c r="L194" i="1" a="1"/>
  <c r="L194" i="1" s="1"/>
  <c r="L146" i="1" a="1"/>
  <c r="L146" i="1" s="1"/>
  <c r="L189" i="1" a="1"/>
  <c r="L189" i="1" s="1"/>
  <c r="L145" i="1" a="1"/>
  <c r="L145" i="1" s="1"/>
  <c r="L127" i="1" a="1"/>
  <c r="L127" i="1" s="1"/>
  <c r="L144" i="1" a="1"/>
  <c r="L144" i="1" s="1"/>
  <c r="L120" i="1" a="1"/>
  <c r="L120" i="1" s="1"/>
  <c r="L143" i="1" a="1"/>
  <c r="L143" i="1" s="1"/>
  <c r="L106" i="1" a="1"/>
  <c r="L106" i="1" s="1"/>
  <c r="L142" i="1" a="1"/>
  <c r="L142" i="1" s="1"/>
  <c r="L98" i="1" a="1"/>
  <c r="L98" i="1" s="1"/>
  <c r="L141" i="1" a="1"/>
  <c r="L141" i="1" s="1"/>
  <c r="L513" i="1" a="1"/>
  <c r="L513" i="1" s="1"/>
  <c r="L135" i="1" a="1"/>
  <c r="L135" i="1" s="1"/>
  <c r="L128" i="1" a="1"/>
  <c r="L128" i="1" s="1"/>
  <c r="L500" i="1" a="1"/>
  <c r="L500" i="1" s="1"/>
  <c r="L480" i="1" a="1"/>
  <c r="L480" i="1" s="1"/>
  <c r="L110" i="1" a="1"/>
  <c r="L110" i="1" s="1"/>
  <c r="L473" i="1" a="1"/>
  <c r="L473" i="1" s="1"/>
  <c r="L452" i="1" a="1"/>
  <c r="L452" i="1" s="1"/>
  <c r="L446" i="1" a="1"/>
  <c r="L446" i="1" s="1"/>
  <c r="L410" i="1" a="1"/>
  <c r="L410" i="1" s="1"/>
  <c r="L15" i="1" a="1"/>
  <c r="L15" i="1" s="1"/>
  <c r="L6" i="1" a="1"/>
  <c r="L6" i="1" s="1"/>
  <c r="L378" i="1" a="1"/>
  <c r="L378" i="1" s="1"/>
  <c r="L85" i="1" a="1"/>
  <c r="L85" i="1" s="1"/>
  <c r="L373" i="1" a="1"/>
  <c r="L373" i="1" s="1"/>
  <c r="L84" i="1" a="1"/>
  <c r="L84" i="1" s="1"/>
  <c r="L350" i="1" a="1"/>
  <c r="L350" i="1" s="1"/>
  <c r="L83" i="1" a="1"/>
  <c r="L83" i="1" s="1"/>
  <c r="L327" i="1" a="1"/>
  <c r="L327" i="1" s="1"/>
  <c r="L82" i="1" a="1"/>
  <c r="L82" i="1" s="1"/>
  <c r="L320" i="1" a="1"/>
  <c r="L320" i="1" s="1"/>
  <c r="L81" i="1" a="1"/>
  <c r="L81" i="1" s="1"/>
  <c r="L313" i="1" a="1"/>
  <c r="L313" i="1" s="1"/>
  <c r="L80" i="1" a="1"/>
  <c r="L80" i="1" s="1"/>
  <c r="L298" i="1" a="1"/>
  <c r="L298" i="1" s="1"/>
  <c r="L79" i="1" a="1"/>
  <c r="L79" i="1" s="1"/>
  <c r="L277" i="1" a="1"/>
  <c r="L277" i="1" s="1"/>
  <c r="L78" i="1" a="1"/>
  <c r="L78" i="1" s="1"/>
  <c r="L268" i="1" a="1"/>
  <c r="L268" i="1" s="1"/>
  <c r="L77" i="1" a="1"/>
  <c r="L77" i="1" s="1"/>
  <c r="L125" i="1" a="1"/>
  <c r="L125" i="1" s="1"/>
  <c r="L76" i="1" a="1"/>
  <c r="L76" i="1" s="1"/>
  <c r="L546" i="1" a="1"/>
  <c r="L546" i="1" s="1"/>
  <c r="L75" i="1" a="1"/>
  <c r="L75" i="1" s="1"/>
  <c r="L518" i="1" a="1"/>
  <c r="L518" i="1" s="1"/>
  <c r="L74" i="1" a="1"/>
  <c r="L74" i="1" s="1"/>
  <c r="L512" i="1" a="1"/>
  <c r="L512" i="1" s="1"/>
  <c r="L73" i="1" a="1"/>
  <c r="L73" i="1" s="1"/>
  <c r="L506" i="1" a="1"/>
  <c r="L506" i="1" s="1"/>
  <c r="L72" i="1" a="1"/>
  <c r="L72" i="1" s="1"/>
  <c r="L493" i="1" a="1"/>
  <c r="L493" i="1" s="1"/>
  <c r="L71" i="1" a="1"/>
  <c r="L71" i="1" s="1"/>
  <c r="L486" i="1" a="1"/>
  <c r="L486" i="1" s="1"/>
  <c r="L70" i="1" a="1"/>
  <c r="L70" i="1" s="1"/>
  <c r="L478" i="1" a="1"/>
  <c r="L478" i="1" s="1"/>
  <c r="L69" i="1" a="1"/>
  <c r="L69" i="1" s="1"/>
  <c r="L472" i="1" a="1"/>
  <c r="L472" i="1" s="1"/>
  <c r="L68" i="1" a="1"/>
  <c r="L68" i="1" s="1"/>
  <c r="L465" i="1" a="1"/>
  <c r="L465" i="1" s="1"/>
  <c r="L67" i="1" a="1"/>
  <c r="L67" i="1" s="1"/>
  <c r="L509" i="1" a="1"/>
  <c r="L509" i="1" s="1"/>
  <c r="L66" i="1" a="1"/>
  <c r="L66" i="1" s="1"/>
  <c r="L502" i="1" a="1"/>
  <c r="L502" i="1" s="1"/>
  <c r="L65" i="1" a="1"/>
  <c r="L65" i="1" s="1"/>
  <c r="L482" i="1" a="1"/>
  <c r="L482" i="1" s="1"/>
  <c r="L64" i="1" a="1"/>
  <c r="L64" i="1" s="1"/>
  <c r="L476" i="1" a="1"/>
  <c r="L476" i="1" s="1"/>
  <c r="L63" i="1" a="1"/>
  <c r="L63" i="1" s="1"/>
  <c r="L442" i="1" a="1"/>
  <c r="L442" i="1" s="1"/>
  <c r="L62" i="1" a="1"/>
  <c r="L62" i="1" s="1"/>
  <c r="L433" i="1" a="1"/>
  <c r="L433" i="1" s="1"/>
  <c r="L61" i="1" a="1"/>
  <c r="L61" i="1" s="1"/>
  <c r="L419" i="1" a="1"/>
  <c r="L419" i="1" s="1"/>
  <c r="L60" i="1" a="1"/>
  <c r="L60" i="1" s="1"/>
  <c r="L414" i="1" a="1"/>
  <c r="L414" i="1" s="1"/>
  <c r="L59" i="1" a="1"/>
  <c r="L59" i="1" s="1"/>
  <c r="L400" i="1" a="1"/>
  <c r="L400" i="1" s="1"/>
  <c r="L58" i="1" a="1"/>
  <c r="L58" i="1" s="1"/>
  <c r="L387" i="1" a="1"/>
  <c r="L387" i="1" s="1"/>
  <c r="L57" i="1" a="1"/>
  <c r="L57" i="1" s="1"/>
  <c r="L249" i="1" a="1"/>
  <c r="L249" i="1" s="1"/>
  <c r="L56" i="1" a="1"/>
  <c r="L56" i="1" s="1"/>
  <c r="L232" i="1" a="1"/>
  <c r="L232" i="1" s="1"/>
  <c r="L55" i="1" a="1"/>
  <c r="L55" i="1" s="1"/>
  <c r="L226" i="1" a="1"/>
  <c r="L226" i="1" s="1"/>
  <c r="L54" i="1" a="1"/>
  <c r="L54" i="1" s="1"/>
  <c r="L205" i="1" a="1"/>
  <c r="L205" i="1" s="1"/>
  <c r="L53" i="1" a="1"/>
  <c r="L53" i="1" s="1"/>
  <c r="L181" i="1" a="1"/>
  <c r="L181" i="1" s="1"/>
  <c r="L52" i="1" a="1"/>
  <c r="L52" i="1" s="1"/>
  <c r="L129" i="1" a="1"/>
  <c r="L129" i="1" s="1"/>
  <c r="L51" i="1" a="1"/>
  <c r="L51" i="1" s="1"/>
  <c r="L116" i="1" a="1"/>
  <c r="L116" i="1" s="1"/>
  <c r="L50" i="1" a="1"/>
  <c r="L50" i="1" s="1"/>
  <c r="L93" i="1" a="1"/>
  <c r="L93" i="1" s="1"/>
  <c r="L49" i="1" a="1"/>
  <c r="L49" i="1" s="1"/>
  <c r="L545" i="1" a="1"/>
  <c r="L545" i="1" s="1"/>
  <c r="L48" i="1" a="1"/>
  <c r="L48" i="1" s="1"/>
  <c r="L542" i="1" a="1"/>
  <c r="L542" i="1" s="1"/>
  <c r="L47" i="1" a="1"/>
  <c r="L47" i="1" s="1"/>
  <c r="L539" i="1" a="1"/>
  <c r="L539" i="1" s="1"/>
  <c r="L46" i="1" a="1"/>
  <c r="L46" i="1" s="1"/>
  <c r="L527" i="1" a="1"/>
  <c r="L527" i="1" s="1"/>
  <c r="L45" i="1" a="1"/>
  <c r="L45" i="1" s="1"/>
  <c r="L519" i="1" a="1"/>
  <c r="L519" i="1" s="1"/>
  <c r="L44" i="1" a="1"/>
  <c r="L44" i="1" s="1"/>
  <c r="L505" i="1" a="1"/>
  <c r="L505" i="1" s="1"/>
  <c r="L43" i="1" a="1"/>
  <c r="L43" i="1" s="1"/>
  <c r="L489" i="1" a="1"/>
  <c r="L489" i="1" s="1"/>
  <c r="L42" i="1" a="1"/>
  <c r="L42" i="1" s="1"/>
  <c r="L470" i="1" a="1"/>
  <c r="L470" i="1" s="1"/>
  <c r="L41" i="1" a="1"/>
  <c r="L41" i="1" s="1"/>
  <c r="L441" i="1" a="1"/>
  <c r="L441" i="1" s="1"/>
  <c r="L40" i="1" a="1"/>
  <c r="L40" i="1" s="1"/>
  <c r="L435" i="1" a="1"/>
  <c r="L435" i="1" s="1"/>
  <c r="L39" i="1" a="1"/>
  <c r="L39" i="1" s="1"/>
  <c r="L429" i="1" a="1"/>
  <c r="L429" i="1" s="1"/>
  <c r="L38" i="1" a="1"/>
  <c r="L38" i="1" s="1"/>
  <c r="L423" i="1" a="1"/>
  <c r="L423" i="1" s="1"/>
  <c r="L37" i="1" a="1"/>
  <c r="L37" i="1" s="1"/>
  <c r="L407" i="1" a="1"/>
  <c r="L407" i="1" s="1"/>
  <c r="L36" i="1" a="1"/>
  <c r="L36" i="1" s="1"/>
  <c r="L395" i="1" a="1"/>
  <c r="L395" i="1" s="1"/>
  <c r="L35" i="1" a="1"/>
  <c r="L35" i="1" s="1"/>
  <c r="L390" i="1" a="1"/>
  <c r="L390" i="1" s="1"/>
  <c r="L34" i="1" a="1"/>
  <c r="L34" i="1" s="1"/>
  <c r="L383" i="1" a="1"/>
  <c r="L383" i="1" s="1"/>
  <c r="L33" i="1" a="1"/>
  <c r="L33" i="1" s="1"/>
  <c r="L377" i="1" a="1"/>
  <c r="L377" i="1" s="1"/>
  <c r="L32" i="1" a="1"/>
  <c r="L32" i="1" s="1"/>
  <c r="L349" i="1" a="1"/>
  <c r="L349" i="1" s="1"/>
  <c r="L31" i="1" a="1"/>
  <c r="L31" i="1" s="1"/>
  <c r="L342" i="1" a="1"/>
  <c r="L342" i="1" s="1"/>
  <c r="L30" i="1" a="1"/>
  <c r="L30" i="1" s="1"/>
  <c r="L316" i="1" a="1"/>
  <c r="L316" i="1" s="1"/>
  <c r="L29" i="1" a="1"/>
  <c r="L29" i="1" s="1"/>
  <c r="L308" i="1" a="1"/>
  <c r="L308" i="1" s="1"/>
  <c r="L28" i="1" a="1"/>
  <c r="L28" i="1" s="1"/>
  <c r="L288" i="1" a="1"/>
  <c r="L288" i="1" s="1"/>
  <c r="L27" i="1" a="1"/>
  <c r="L27" i="1" s="1"/>
  <c r="L282" i="1" a="1"/>
  <c r="L282" i="1" s="1"/>
  <c r="L26" i="1" a="1"/>
  <c r="L26" i="1" s="1"/>
  <c r="L269" i="1" a="1"/>
  <c r="L269" i="1" s="1"/>
  <c r="L25" i="1" a="1"/>
  <c r="L25" i="1" s="1"/>
  <c r="L263" i="1" a="1"/>
  <c r="L263" i="1" s="1"/>
  <c r="L24" i="1" a="1"/>
  <c r="L24" i="1" s="1"/>
  <c r="L256" i="1" a="1"/>
  <c r="L256" i="1" s="1"/>
  <c r="L23" i="1" a="1"/>
  <c r="L23" i="1" s="1"/>
  <c r="L250" i="1" a="1"/>
  <c r="L250" i="1" s="1"/>
  <c r="L22" i="1" a="1"/>
  <c r="L22" i="1" s="1"/>
  <c r="L244" i="1" a="1"/>
  <c r="L244" i="1" s="1"/>
  <c r="L21" i="1" a="1"/>
  <c r="L21" i="1" s="1"/>
  <c r="L236" i="1" a="1"/>
  <c r="L236" i="1" s="1"/>
  <c r="L20" i="1" a="1"/>
  <c r="L20" i="1" s="1"/>
  <c r="L231" i="1" a="1"/>
  <c r="L231" i="1" s="1"/>
  <c r="L19" i="1" a="1"/>
  <c r="L19" i="1" s="1"/>
  <c r="L223" i="1" a="1"/>
  <c r="L223" i="1" s="1"/>
  <c r="L18" i="1" a="1"/>
  <c r="L18" i="1" s="1"/>
  <c r="L216" i="1" a="1"/>
  <c r="L216" i="1" s="1"/>
  <c r="L8" i="1" a="1"/>
  <c r="L8" i="1" s="1"/>
  <c r="L197" i="1" a="1"/>
  <c r="L197" i="1" s="1"/>
  <c r="L182" i="1" a="1"/>
  <c r="L182" i="1" s="1"/>
  <c r="L483" i="1" a="1"/>
  <c r="L483" i="1" s="1"/>
  <c r="L137" i="1" a="1"/>
  <c r="L137" i="1" s="1"/>
  <c r="L130" i="1" a="1"/>
  <c r="L130" i="1" s="1"/>
  <c r="L462" i="1" a="1"/>
  <c r="L462" i="1" s="1"/>
  <c r="L448" i="1" a="1"/>
  <c r="L448" i="1" s="1"/>
  <c r="L122" i="1" a="1"/>
  <c r="L122" i="1" s="1"/>
  <c r="L99" i="1" a="1"/>
  <c r="L99" i="1" s="1"/>
  <c r="L94" i="1" a="1"/>
  <c r="L94" i="1" s="1"/>
  <c r="L87" i="1" a="1"/>
  <c r="L87" i="1" s="1"/>
  <c r="L417" i="1" a="1"/>
  <c r="L417" i="1" s="1"/>
  <c r="L538" i="1" a="1"/>
  <c r="L538" i="1" s="1"/>
  <c r="L499" i="1" a="1"/>
  <c r="L499" i="1" s="1"/>
  <c r="L399" i="1" a="1"/>
  <c r="L399" i="1" s="1"/>
  <c r="L451" i="1" a="1"/>
  <c r="L451" i="1" s="1"/>
  <c r="L388" i="1" a="1"/>
  <c r="L388" i="1" s="1"/>
  <c r="L443" i="1" a="1"/>
  <c r="L443" i="1" s="1"/>
  <c r="L376" i="1" a="1"/>
  <c r="L376" i="1" s="1"/>
  <c r="L437" i="1" a="1"/>
  <c r="L437" i="1" s="1"/>
  <c r="L430" i="1" a="1"/>
  <c r="L430" i="1" s="1"/>
  <c r="L422" i="1" a="1"/>
  <c r="L422" i="1" s="1"/>
  <c r="L409" i="1" a="1"/>
  <c r="L409" i="1" s="1"/>
  <c r="L330" i="1" a="1"/>
  <c r="L330" i="1" s="1"/>
  <c r="L323" i="1" a="1"/>
  <c r="L323" i="1" s="1"/>
  <c r="L396" i="1" a="1"/>
  <c r="L396" i="1" s="1"/>
  <c r="L370" i="1" a="1"/>
  <c r="L370" i="1" s="1"/>
  <c r="L255" i="1" a="1"/>
  <c r="L255" i="1" s="1"/>
  <c r="L248" i="1" a="1"/>
  <c r="L248" i="1" s="1"/>
  <c r="L240" i="1" a="1"/>
  <c r="L240" i="1" s="1"/>
  <c r="L234" i="1" a="1"/>
  <c r="L234" i="1" s="1"/>
  <c r="L276" i="1" a="1"/>
  <c r="L276" i="1" s="1"/>
  <c r="L16" i="1" a="1"/>
  <c r="L16" i="1" s="1"/>
  <c r="L228" i="1" a="1"/>
  <c r="L228" i="1" s="1"/>
  <c r="L4" i="1" a="1"/>
  <c r="L4" i="1" s="1"/>
  <c r="L217" i="1" a="1"/>
  <c r="L217" i="1" s="1"/>
  <c r="L196" i="1" a="1"/>
  <c r="L196" i="1" s="1"/>
  <c r="L531" i="1" a="1"/>
  <c r="L531" i="1" s="1"/>
  <c r="L523" i="1" a="1"/>
  <c r="L523" i="1" s="1"/>
  <c r="L517" i="1" a="1"/>
  <c r="L517" i="1" s="1"/>
  <c r="L132" i="1" a="1"/>
  <c r="L132" i="1" s="1"/>
  <c r="L118" i="1" a="1"/>
  <c r="L118" i="1" s="1"/>
  <c r="L497" i="1" a="1"/>
  <c r="L497" i="1" s="1"/>
  <c r="L91" i="1" a="1"/>
  <c r="L91" i="1" s="1"/>
  <c r="L484" i="1" a="1"/>
  <c r="L484" i="1" s="1"/>
  <c r="L477" i="1" a="1"/>
  <c r="L477" i="1" s="1"/>
  <c r="L471" i="1" a="1"/>
  <c r="L471" i="1" s="1"/>
  <c r="L86" i="1" a="1"/>
  <c r="L86" i="1" s="1"/>
  <c r="L436" i="1" a="1"/>
  <c r="L436" i="1" s="1"/>
  <c r="L427" i="1" a="1"/>
  <c r="L427" i="1" s="1"/>
  <c r="L415" i="1" a="1"/>
  <c r="L415" i="1" s="1"/>
  <c r="L408" i="1" a="1"/>
  <c r="L408" i="1" s="1"/>
  <c r="L402" i="1" a="1"/>
  <c r="L402" i="1" s="1"/>
  <c r="L389" i="1" a="1"/>
  <c r="L389" i="1" s="1"/>
  <c r="L382" i="1" a="1"/>
  <c r="L382" i="1" s="1"/>
  <c r="L297" i="1" a="1"/>
  <c r="L297" i="1" s="1"/>
  <c r="L290" i="1" a="1"/>
  <c r="L290" i="1" s="1"/>
  <c r="L283" i="1" a="1"/>
  <c r="L283" i="1" s="1"/>
  <c r="L275" i="1" a="1"/>
  <c r="L275" i="1" s="1"/>
  <c r="L9" i="1" a="1"/>
  <c r="L9" i="1" s="1"/>
  <c r="L528" i="1" a="1"/>
  <c r="L528" i="1" s="1"/>
  <c r="L521" i="1" a="1"/>
  <c r="L521" i="1" s="1"/>
  <c r="L507" i="1" a="1"/>
  <c r="L507" i="1" s="1"/>
  <c r="L494" i="1" a="1"/>
  <c r="L494" i="1" s="1"/>
  <c r="L488" i="1" a="1"/>
  <c r="L488" i="1" s="1"/>
  <c r="L481" i="1" a="1"/>
  <c r="L481" i="1" s="1"/>
  <c r="L474" i="1" a="1"/>
  <c r="L474" i="1" s="1"/>
  <c r="L467" i="1" a="1"/>
  <c r="L467" i="1" s="1"/>
  <c r="L426" i="1" a="1"/>
  <c r="L426" i="1" s="1"/>
  <c r="L401" i="1" a="1"/>
  <c r="L401" i="1" s="1"/>
  <c r="L381" i="1" a="1"/>
  <c r="L381" i="1" s="1"/>
  <c r="L374" i="1" a="1"/>
  <c r="L374" i="1" s="1"/>
  <c r="L368" i="1" a="1"/>
  <c r="L368" i="1" s="1"/>
  <c r="L293" i="1" a="1"/>
  <c r="L293" i="1" s="1"/>
  <c r="L337" i="1" a="1"/>
  <c r="L337" i="1" s="1"/>
  <c r="L328" i="1" a="1"/>
  <c r="L328" i="1" s="1"/>
  <c r="L314" i="1" a="1"/>
  <c r="L314" i="1" s="1"/>
  <c r="L299" i="1" a="1"/>
  <c r="L299" i="1" s="1"/>
  <c r="L292" i="1" a="1"/>
  <c r="L292" i="1" s="1"/>
  <c r="L279" i="1" a="1"/>
  <c r="L279" i="1" s="1"/>
  <c r="L261" i="1" a="1"/>
  <c r="L261" i="1" s="1"/>
  <c r="L227" i="1" a="1"/>
  <c r="L227" i="1" s="1"/>
  <c r="L221" i="1" a="1"/>
  <c r="L221" i="1" s="1"/>
  <c r="L207" i="1" a="1"/>
  <c r="L207" i="1" s="1"/>
  <c r="L200" i="1" a="1"/>
  <c r="L200" i="1" s="1"/>
  <c r="L191" i="1" a="1"/>
  <c r="L191" i="1" s="1"/>
  <c r="L184" i="1" a="1"/>
  <c r="L184" i="1" s="1"/>
  <c r="L131" i="1" a="1"/>
  <c r="L131" i="1" s="1"/>
  <c r="L124" i="1" a="1"/>
  <c r="L124" i="1" s="1"/>
  <c r="L17" i="1" a="1"/>
  <c r="L17" i="1" s="1"/>
  <c r="L14" i="1" a="1"/>
  <c r="L14" i="1" s="1"/>
  <c r="L13" i="1" a="1"/>
  <c r="L13" i="1" s="1"/>
  <c r="R3" i="1"/>
  <c r="AG3" i="1" s="1"/>
  <c r="L3" i="1" a="1"/>
  <c r="L3" i="1" s="1"/>
  <c r="L553" i="1" a="1"/>
  <c r="L553" i="1" s="1"/>
  <c r="L549" i="1" a="1"/>
  <c r="L549" i="1" s="1"/>
  <c r="L547" i="1" a="1"/>
  <c r="L547" i="1" s="1"/>
  <c r="L544" i="1" a="1"/>
  <c r="L544" i="1" s="1"/>
  <c r="L535" i="1" a="1"/>
  <c r="L535" i="1" s="1"/>
  <c r="L532" i="1" a="1"/>
  <c r="L532" i="1" s="1"/>
  <c r="L526" i="1" a="1"/>
  <c r="L526" i="1" s="1"/>
  <c r="L510" i="1" a="1"/>
  <c r="L510" i="1" s="1"/>
  <c r="L504" i="1" a="1"/>
  <c r="L504" i="1" s="1"/>
  <c r="L498" i="1" a="1"/>
  <c r="L498" i="1" s="1"/>
  <c r="L491" i="1" a="1"/>
  <c r="L491" i="1" s="1"/>
  <c r="L485" i="1" a="1"/>
  <c r="L485" i="1" s="1"/>
  <c r="L466" i="1" a="1"/>
  <c r="L466" i="1" s="1"/>
  <c r="L447" i="1" a="1"/>
  <c r="L447" i="1" s="1"/>
  <c r="L439" i="1" a="1"/>
  <c r="L439" i="1" s="1"/>
  <c r="L432" i="1" a="1"/>
  <c r="L432" i="1" s="1"/>
  <c r="L424" i="1" a="1"/>
  <c r="L424" i="1" s="1"/>
  <c r="L418" i="1" a="1"/>
  <c r="L418" i="1" s="1"/>
  <c r="K555" i="1" a="1"/>
  <c r="K555" i="1" s="1"/>
  <c r="K550" i="1" a="1"/>
  <c r="K550" i="1" s="1"/>
  <c r="K545" i="1" a="1"/>
  <c r="K545" i="1" s="1"/>
  <c r="K537" i="1" a="1"/>
  <c r="K537" i="1" s="1"/>
  <c r="K515" i="1" a="1"/>
  <c r="K515" i="1" s="1"/>
  <c r="K509" i="1" a="1"/>
  <c r="K509" i="1" s="1"/>
  <c r="K503" i="1" a="1"/>
  <c r="K503" i="1" s="1"/>
  <c r="K498" i="1" a="1"/>
  <c r="K498" i="1" s="1"/>
  <c r="K492" i="1" a="1"/>
  <c r="K492" i="1" s="1"/>
  <c r="K480" i="1" a="1"/>
  <c r="K480" i="1" s="1"/>
  <c r="K476" i="1" a="1"/>
  <c r="K476" i="1" s="1"/>
  <c r="K470" i="1" a="1"/>
  <c r="K470" i="1" s="1"/>
  <c r="K463" i="1" a="1"/>
  <c r="K463" i="1" s="1"/>
  <c r="K448" i="1" a="1"/>
  <c r="K448" i="1" s="1"/>
  <c r="K417" i="1" a="1"/>
  <c r="K417" i="1" s="1"/>
  <c r="K410" i="1" a="1"/>
  <c r="K410" i="1" s="1"/>
  <c r="K393" i="1" a="1"/>
  <c r="K393" i="1" s="1"/>
  <c r="K386" i="1" a="1"/>
  <c r="K386" i="1" s="1"/>
  <c r="K379" i="1" a="1"/>
  <c r="K379" i="1" s="1"/>
  <c r="K293" i="1" a="1"/>
  <c r="K293" i="1" s="1"/>
  <c r="K275" i="1" a="1"/>
  <c r="K275" i="1" s="1"/>
  <c r="K269" i="1" a="1"/>
  <c r="K269" i="1" s="1"/>
  <c r="K256" i="1" a="1"/>
  <c r="K256" i="1" s="1"/>
  <c r="K249" i="1" a="1"/>
  <c r="K249" i="1" s="1"/>
  <c r="K237" i="1" a="1"/>
  <c r="K237" i="1" s="1"/>
  <c r="K231" i="1" a="1"/>
  <c r="K231" i="1" s="1"/>
  <c r="K225" i="1" a="1"/>
  <c r="K225" i="1" s="1"/>
  <c r="K212" i="1" a="1"/>
  <c r="K212" i="1" s="1"/>
  <c r="K206" i="1" a="1"/>
  <c r="K206" i="1" s="1"/>
  <c r="K131" i="1" a="1"/>
  <c r="K131" i="1" s="1"/>
  <c r="K124" i="1" a="1"/>
  <c r="K124" i="1" s="1"/>
  <c r="K116" i="1" a="1"/>
  <c r="K116" i="1" s="1"/>
  <c r="K99" i="1" a="1"/>
  <c r="K99" i="1" s="1"/>
  <c r="K90" i="1" a="1"/>
  <c r="K90" i="1" s="1"/>
  <c r="K15" i="1" a="1"/>
  <c r="K15" i="1" s="1"/>
  <c r="K14" i="1" a="1"/>
  <c r="K14" i="1" s="1"/>
  <c r="K461" i="1" a="1"/>
  <c r="K461" i="1" s="1"/>
  <c r="K460" i="1" a="1"/>
  <c r="K460" i="1" s="1"/>
  <c r="K459" i="1" a="1"/>
  <c r="K459" i="1" s="1"/>
  <c r="K458" i="1" a="1"/>
  <c r="K458" i="1" s="1"/>
  <c r="K457" i="1" a="1"/>
  <c r="K457" i="1" s="1"/>
  <c r="K456" i="1" a="1"/>
  <c r="K456" i="1" s="1"/>
  <c r="K455" i="1" a="1"/>
  <c r="K455" i="1" s="1"/>
  <c r="K436" i="1" a="1"/>
  <c r="K436" i="1" s="1"/>
  <c r="K428" i="1" a="1"/>
  <c r="K428" i="1" s="1"/>
  <c r="K413" i="1" a="1"/>
  <c r="K413" i="1" s="1"/>
  <c r="K397" i="1" a="1"/>
  <c r="K397" i="1" s="1"/>
  <c r="K389" i="1" a="1"/>
  <c r="K389" i="1" s="1"/>
  <c r="K380" i="1" a="1"/>
  <c r="K380" i="1" s="1"/>
  <c r="K373" i="1" a="1"/>
  <c r="K373" i="1" s="1"/>
  <c r="K318" i="1" a="1"/>
  <c r="K318" i="1" s="1"/>
  <c r="K311" i="1" a="1"/>
  <c r="K311" i="1" s="1"/>
  <c r="K277" i="1" a="1"/>
  <c r="K277" i="1" s="1"/>
  <c r="K245" i="1" a="1"/>
  <c r="K245" i="1" s="1"/>
  <c r="K218" i="1" a="1"/>
  <c r="K218" i="1" s="1"/>
  <c r="K195" i="1" a="1"/>
  <c r="K195" i="1" s="1"/>
  <c r="K181" i="1" a="1"/>
  <c r="K181" i="1" s="1"/>
  <c r="K130" i="1" a="1"/>
  <c r="K130" i="1" s="1"/>
  <c r="K122" i="1" a="1"/>
  <c r="K122" i="1" s="1"/>
  <c r="K118" i="1" a="1"/>
  <c r="K118" i="1" s="1"/>
  <c r="K100" i="1" a="1"/>
  <c r="K100" i="1" s="1"/>
  <c r="K95" i="1" a="1"/>
  <c r="K95" i="1" s="1"/>
  <c r="K367" i="1" a="1"/>
  <c r="K367" i="1" s="1"/>
  <c r="K366" i="1" a="1"/>
  <c r="K366" i="1" s="1"/>
  <c r="K365" i="1" a="1"/>
  <c r="K365" i="1" s="1"/>
  <c r="K364" i="1" a="1"/>
  <c r="K364" i="1" s="1"/>
  <c r="K362" i="1" a="1"/>
  <c r="K362" i="1" s="1"/>
  <c r="K361" i="1" a="1"/>
  <c r="K361" i="1" s="1"/>
  <c r="K360" i="1" a="1"/>
  <c r="K360" i="1" s="1"/>
  <c r="K359" i="1" a="1"/>
  <c r="K359" i="1" s="1"/>
  <c r="K358" i="1" a="1"/>
  <c r="K358" i="1" s="1"/>
  <c r="K357" i="1" a="1"/>
  <c r="K357" i="1" s="1"/>
  <c r="K356" i="1" a="1"/>
  <c r="K356" i="1" s="1"/>
  <c r="K355" i="1" a="1"/>
  <c r="K355" i="1" s="1"/>
  <c r="K354" i="1" a="1"/>
  <c r="K354" i="1" s="1"/>
  <c r="K353" i="1" a="1"/>
  <c r="K353" i="1" s="1"/>
  <c r="K352" i="1" a="1"/>
  <c r="K352" i="1" s="1"/>
  <c r="K347" i="1" a="1"/>
  <c r="K347" i="1" s="1"/>
  <c r="K341" i="1" a="1"/>
  <c r="K341" i="1" s="1"/>
  <c r="K328" i="1" a="1"/>
  <c r="K328" i="1" s="1"/>
  <c r="K288" i="1" a="1"/>
  <c r="K288" i="1" s="1"/>
  <c r="K280" i="1" a="1"/>
  <c r="K280" i="1" s="1"/>
  <c r="K268" i="1" a="1"/>
  <c r="K268" i="1" s="1"/>
  <c r="K262" i="1" a="1"/>
  <c r="K262" i="1" s="1"/>
  <c r="K246" i="1" a="1"/>
  <c r="K246" i="1" s="1"/>
  <c r="K240" i="1" a="1"/>
  <c r="K240" i="1" s="1"/>
  <c r="K235" i="1" a="1"/>
  <c r="K235" i="1" s="1"/>
  <c r="K209" i="1" a="1"/>
  <c r="K209" i="1" s="1"/>
  <c r="K196" i="1" a="1"/>
  <c r="K196" i="1" s="1"/>
  <c r="K184" i="1" a="1"/>
  <c r="K184" i="1" s="1"/>
  <c r="K129" i="1" a="1"/>
  <c r="K129" i="1" s="1"/>
  <c r="K120" i="1" a="1"/>
  <c r="K120" i="1" s="1"/>
  <c r="K108" i="1" a="1"/>
  <c r="K108" i="1" s="1"/>
  <c r="K104" i="1" a="1"/>
  <c r="K104" i="1" s="1"/>
  <c r="K88" i="1" a="1"/>
  <c r="K88" i="1" s="1"/>
  <c r="K248" i="1" a="1"/>
  <c r="K248" i="1" s="1"/>
  <c r="K234" i="1" a="1"/>
  <c r="K234" i="1" s="1"/>
  <c r="K226" i="1" a="1"/>
  <c r="K226" i="1" s="1"/>
  <c r="K220" i="1" a="1"/>
  <c r="K220" i="1" s="1"/>
  <c r="K213" i="1" a="1"/>
  <c r="K213" i="1" s="1"/>
  <c r="K200" i="1" a="1"/>
  <c r="K200" i="1" s="1"/>
  <c r="K190" i="1" a="1"/>
  <c r="K190" i="1" s="1"/>
  <c r="K182" i="1" a="1"/>
  <c r="K182" i="1" s="1"/>
  <c r="K136" i="1" a="1"/>
  <c r="K136" i="1" s="1"/>
  <c r="K127" i="1" a="1"/>
  <c r="K127" i="1" s="1"/>
  <c r="K17" i="1" a="1"/>
  <c r="K17" i="1" s="1"/>
  <c r="K7" i="1" a="1"/>
  <c r="K7" i="1" s="1"/>
  <c r="K179" i="1" a="1"/>
  <c r="K179" i="1" s="1"/>
  <c r="K178" i="1" a="1"/>
  <c r="K178" i="1" s="1"/>
  <c r="K177" i="1" a="1"/>
  <c r="K177" i="1" s="1"/>
  <c r="K176" i="1" a="1"/>
  <c r="K176" i="1" s="1"/>
  <c r="K175" i="1" a="1"/>
  <c r="K175" i="1" s="1"/>
  <c r="K174" i="1" a="1"/>
  <c r="K174" i="1" s="1"/>
  <c r="K173" i="1" a="1"/>
  <c r="K173" i="1" s="1"/>
  <c r="K172" i="1" a="1"/>
  <c r="K172" i="1" s="1"/>
  <c r="K171" i="1" a="1"/>
  <c r="K171" i="1" s="1"/>
  <c r="K170" i="1" a="1"/>
  <c r="K170" i="1" s="1"/>
  <c r="K169" i="1" a="1"/>
  <c r="K169" i="1" s="1"/>
  <c r="K168" i="1" a="1"/>
  <c r="K168" i="1" s="1"/>
  <c r="K167" i="1" a="1"/>
  <c r="K167" i="1" s="1"/>
  <c r="K166" i="1" a="1"/>
  <c r="K166" i="1" s="1"/>
  <c r="K165" i="1" a="1"/>
  <c r="K165" i="1" s="1"/>
  <c r="K164" i="1" a="1"/>
  <c r="K164" i="1" s="1"/>
  <c r="K163" i="1" a="1"/>
  <c r="K163" i="1" s="1"/>
  <c r="K162" i="1" a="1"/>
  <c r="K162" i="1" s="1"/>
  <c r="K161" i="1" a="1"/>
  <c r="K161" i="1" s="1"/>
  <c r="K160" i="1" a="1"/>
  <c r="K160" i="1" s="1"/>
  <c r="K159" i="1" a="1"/>
  <c r="K159" i="1" s="1"/>
  <c r="K158" i="1" a="1"/>
  <c r="K158" i="1" s="1"/>
  <c r="K157" i="1" a="1"/>
  <c r="K157" i="1" s="1"/>
  <c r="K156" i="1" a="1"/>
  <c r="K156" i="1" s="1"/>
  <c r="K155" i="1" a="1"/>
  <c r="K155" i="1" s="1"/>
  <c r="K154" i="1" a="1"/>
  <c r="K154" i="1" s="1"/>
  <c r="K153" i="1" a="1"/>
  <c r="K153" i="1" s="1"/>
  <c r="K152" i="1" a="1"/>
  <c r="K152" i="1" s="1"/>
  <c r="K151" i="1" a="1"/>
  <c r="K151" i="1" s="1"/>
  <c r="K150" i="1" a="1"/>
  <c r="K150" i="1" s="1"/>
  <c r="K149" i="1" a="1"/>
  <c r="K149" i="1" s="1"/>
  <c r="K148" i="1" a="1"/>
  <c r="K148" i="1" s="1"/>
  <c r="K147" i="1" a="1"/>
  <c r="K147" i="1" s="1"/>
  <c r="K146" i="1" a="1"/>
  <c r="K146" i="1" s="1"/>
  <c r="K145" i="1" a="1"/>
  <c r="K145" i="1" s="1"/>
  <c r="K144" i="1" a="1"/>
  <c r="K144" i="1" s="1"/>
  <c r="K143" i="1" a="1"/>
  <c r="K143" i="1" s="1"/>
  <c r="K142" i="1" a="1"/>
  <c r="K142" i="1" s="1"/>
  <c r="K141" i="1" a="1"/>
  <c r="K141" i="1" s="1"/>
  <c r="K121" i="1" a="1"/>
  <c r="K121" i="1" s="1"/>
  <c r="K115" i="1" a="1"/>
  <c r="K115" i="1" s="1"/>
  <c r="K102" i="1" a="1"/>
  <c r="K102" i="1" s="1"/>
  <c r="K94" i="1" a="1"/>
  <c r="K94" i="1" s="1"/>
  <c r="K89" i="1" a="1"/>
  <c r="K89" i="1" s="1"/>
  <c r="K86" i="1" a="1"/>
  <c r="K86" i="1" s="1"/>
  <c r="K6" i="1" a="1"/>
  <c r="K6" i="1" s="1"/>
  <c r="K85" i="1" a="1"/>
  <c r="K85" i="1" s="1"/>
  <c r="K84" i="1" a="1"/>
  <c r="K84" i="1" s="1"/>
  <c r="K83" i="1" a="1"/>
  <c r="K83" i="1" s="1"/>
  <c r="K82" i="1" a="1"/>
  <c r="K82" i="1" s="1"/>
  <c r="K81" i="1" a="1"/>
  <c r="K81" i="1" s="1"/>
  <c r="K80" i="1" a="1"/>
  <c r="K80" i="1" s="1"/>
  <c r="K79" i="1" a="1"/>
  <c r="K79" i="1" s="1"/>
  <c r="K78" i="1" a="1"/>
  <c r="K78" i="1" s="1"/>
  <c r="K77" i="1" a="1"/>
  <c r="K77" i="1" s="1"/>
  <c r="K76" i="1" a="1"/>
  <c r="K76" i="1" s="1"/>
  <c r="K75" i="1" a="1"/>
  <c r="K75" i="1" s="1"/>
  <c r="K74" i="1" a="1"/>
  <c r="K74" i="1" s="1"/>
  <c r="K73" i="1" a="1"/>
  <c r="K73" i="1" s="1"/>
  <c r="K72" i="1" a="1"/>
  <c r="K72" i="1" s="1"/>
  <c r="K71" i="1" a="1"/>
  <c r="K71" i="1" s="1"/>
  <c r="K70" i="1" a="1"/>
  <c r="K70" i="1" s="1"/>
  <c r="K69" i="1" a="1"/>
  <c r="K69" i="1" s="1"/>
  <c r="K68" i="1" a="1"/>
  <c r="K68" i="1" s="1"/>
  <c r="K67" i="1" a="1"/>
  <c r="K67" i="1" s="1"/>
  <c r="K66" i="1" a="1"/>
  <c r="K66" i="1" s="1"/>
  <c r="K65" i="1" a="1"/>
  <c r="K65" i="1" s="1"/>
  <c r="K64" i="1" a="1"/>
  <c r="K64" i="1" s="1"/>
  <c r="K63" i="1" a="1"/>
  <c r="K63" i="1" s="1"/>
  <c r="K62" i="1" a="1"/>
  <c r="K62" i="1" s="1"/>
  <c r="K61" i="1" a="1"/>
  <c r="K61" i="1" s="1"/>
  <c r="K60" i="1" a="1"/>
  <c r="K60" i="1" s="1"/>
  <c r="K59" i="1" a="1"/>
  <c r="K59" i="1" s="1"/>
  <c r="K58" i="1" a="1"/>
  <c r="K58" i="1" s="1"/>
  <c r="K57" i="1" a="1"/>
  <c r="K57" i="1" s="1"/>
  <c r="K56" i="1" a="1"/>
  <c r="K56" i="1" s="1"/>
  <c r="K55" i="1" a="1"/>
  <c r="K55" i="1" s="1"/>
  <c r="K54" i="1" a="1"/>
  <c r="K54" i="1" s="1"/>
  <c r="K53" i="1" a="1"/>
  <c r="K53" i="1" s="1"/>
  <c r="K52" i="1" a="1"/>
  <c r="K52" i="1" s="1"/>
  <c r="K51" i="1" a="1"/>
  <c r="K51" i="1" s="1"/>
  <c r="K50" i="1" a="1"/>
  <c r="K50" i="1" s="1"/>
  <c r="K49" i="1" a="1"/>
  <c r="K49" i="1" s="1"/>
  <c r="K48" i="1" a="1"/>
  <c r="K48" i="1" s="1"/>
  <c r="K47" i="1" a="1"/>
  <c r="K47" i="1" s="1"/>
  <c r="K46" i="1" a="1"/>
  <c r="K46" i="1" s="1"/>
  <c r="K45" i="1" a="1"/>
  <c r="K45" i="1" s="1"/>
  <c r="K44" i="1" a="1"/>
  <c r="K44" i="1" s="1"/>
  <c r="K43" i="1" a="1"/>
  <c r="K43" i="1" s="1"/>
  <c r="K42" i="1" a="1"/>
  <c r="K42" i="1" s="1"/>
  <c r="K41" i="1" a="1"/>
  <c r="K41" i="1" s="1"/>
  <c r="K40" i="1" a="1"/>
  <c r="K40" i="1" s="1"/>
  <c r="K39" i="1" a="1"/>
  <c r="K39" i="1" s="1"/>
  <c r="K38" i="1" a="1"/>
  <c r="K38" i="1" s="1"/>
  <c r="K37" i="1" a="1"/>
  <c r="K37" i="1" s="1"/>
  <c r="K36" i="1" a="1"/>
  <c r="K36" i="1" s="1"/>
  <c r="K35" i="1" a="1"/>
  <c r="K35" i="1" s="1"/>
  <c r="K34" i="1" a="1"/>
  <c r="K34" i="1" s="1"/>
  <c r="K33" i="1" a="1"/>
  <c r="K33" i="1" s="1"/>
  <c r="K32" i="1" a="1"/>
  <c r="K32" i="1" s="1"/>
  <c r="K31" i="1" a="1"/>
  <c r="K31" i="1" s="1"/>
  <c r="K30" i="1" a="1"/>
  <c r="K30" i="1" s="1"/>
  <c r="K29" i="1" a="1"/>
  <c r="K29" i="1" s="1"/>
  <c r="K28" i="1" a="1"/>
  <c r="K28" i="1" s="1"/>
  <c r="K27" i="1" a="1"/>
  <c r="K27" i="1" s="1"/>
  <c r="K26" i="1" a="1"/>
  <c r="K26" i="1" s="1"/>
  <c r="K25" i="1" a="1"/>
  <c r="K25" i="1" s="1"/>
  <c r="K24" i="1" a="1"/>
  <c r="K24" i="1" s="1"/>
  <c r="K23" i="1" a="1"/>
  <c r="K23" i="1" s="1"/>
  <c r="K22" i="1" a="1"/>
  <c r="K22" i="1" s="1"/>
  <c r="K21" i="1" a="1"/>
  <c r="K21" i="1" s="1"/>
  <c r="K20" i="1" a="1"/>
  <c r="K20" i="1" s="1"/>
  <c r="K19" i="1" a="1"/>
  <c r="K19" i="1" s="1"/>
  <c r="K18" i="1" a="1"/>
  <c r="K18" i="1" s="1"/>
  <c r="K8" i="1" a="1"/>
  <c r="K8" i="1" s="1"/>
  <c r="K551" i="1" a="1"/>
  <c r="K551" i="1" s="1"/>
  <c r="K475" i="1" a="1"/>
  <c r="K475" i="1" s="1"/>
  <c r="K467" i="1" a="1"/>
  <c r="K467" i="1" s="1"/>
  <c r="K441" i="1" a="1"/>
  <c r="K441" i="1" s="1"/>
  <c r="K435" i="1" a="1"/>
  <c r="K435" i="1" s="1"/>
  <c r="K429" i="1" a="1"/>
  <c r="K429" i="1" s="1"/>
  <c r="K423" i="1" a="1"/>
  <c r="K423" i="1" s="1"/>
  <c r="K411" i="1" a="1"/>
  <c r="K411" i="1" s="1"/>
  <c r="K406" i="1" a="1"/>
  <c r="K406" i="1" s="1"/>
  <c r="K394" i="1" a="1"/>
  <c r="K394" i="1" s="1"/>
  <c r="K382" i="1" a="1"/>
  <c r="K382" i="1" s="1"/>
  <c r="K370" i="1" a="1"/>
  <c r="K370" i="1" s="1"/>
  <c r="K349" i="1" a="1"/>
  <c r="K349" i="1" s="1"/>
  <c r="K342" i="1" a="1"/>
  <c r="K342" i="1" s="1"/>
  <c r="K336" i="1" a="1"/>
  <c r="K336" i="1" s="1"/>
  <c r="K316" i="1" a="1"/>
  <c r="K316" i="1" s="1"/>
  <c r="K308" i="1" a="1"/>
  <c r="K308" i="1" s="1"/>
  <c r="K302" i="1" a="1"/>
  <c r="K302" i="1" s="1"/>
  <c r="K296" i="1" a="1"/>
  <c r="K296" i="1" s="1"/>
  <c r="K289" i="1" a="1"/>
  <c r="K289" i="1" s="1"/>
  <c r="K283" i="1" a="1"/>
  <c r="K283" i="1" s="1"/>
  <c r="K16" i="1" a="1"/>
  <c r="K16" i="1" s="1"/>
  <c r="K4" i="1" a="1"/>
  <c r="K4" i="1" s="1"/>
  <c r="K553" i="1" a="1"/>
  <c r="K553" i="1" s="1"/>
  <c r="K511" i="1" a="1"/>
  <c r="K511" i="1" s="1"/>
  <c r="K505" i="1" a="1"/>
  <c r="K505" i="1" s="1"/>
  <c r="K490" i="1" a="1"/>
  <c r="K490" i="1" s="1"/>
  <c r="K464" i="1" a="1"/>
  <c r="K464" i="1" s="1"/>
  <c r="K329" i="1" a="1"/>
  <c r="K329" i="1" s="1"/>
  <c r="K300" i="1" a="1"/>
  <c r="K300" i="1" s="1"/>
  <c r="K345" i="1" a="1"/>
  <c r="K345" i="1" s="1"/>
  <c r="K319" i="1" a="1"/>
  <c r="K319" i="1" s="1"/>
  <c r="K326" i="1" a="1"/>
  <c r="K326" i="1" s="1"/>
  <c r="K290" i="1" a="1"/>
  <c r="K290" i="1" s="1"/>
  <c r="K332" i="1" a="1"/>
  <c r="K332" i="1" s="1"/>
  <c r="K340" i="1" a="1"/>
  <c r="K340" i="1" s="1"/>
  <c r="K346" i="1" a="1"/>
  <c r="K346" i="1" s="1"/>
  <c r="K284" i="1" a="1"/>
  <c r="K284" i="1" s="1"/>
  <c r="K369" i="1" a="1"/>
  <c r="K369" i="1" s="1"/>
  <c r="K547" i="1" a="1"/>
  <c r="K547" i="1" s="1"/>
  <c r="K541" i="1" a="1"/>
  <c r="K541" i="1" s="1"/>
  <c r="K279" i="1" a="1"/>
  <c r="K279" i="1" s="1"/>
  <c r="K271" i="1" a="1"/>
  <c r="K271" i="1" s="1"/>
  <c r="K321" i="1" a="1"/>
  <c r="K321" i="1" s="1"/>
  <c r="K524" i="1" a="1"/>
  <c r="K524" i="1" s="1"/>
  <c r="K518" i="1" a="1"/>
  <c r="K518" i="1" s="1"/>
  <c r="K314" i="1" a="1"/>
  <c r="K314" i="1" s="1"/>
  <c r="K254" i="1" a="1"/>
  <c r="K254" i="1" s="1"/>
  <c r="K496" i="1" a="1"/>
  <c r="K496" i="1" s="1"/>
  <c r="K546" i="1" a="1"/>
  <c r="K546" i="1" s="1"/>
  <c r="K247" i="1" a="1"/>
  <c r="K247" i="1" s="1"/>
  <c r="K242" i="1" a="1"/>
  <c r="K242" i="1" s="1"/>
  <c r="K533" i="1" a="1"/>
  <c r="K533" i="1" s="1"/>
  <c r="K529" i="1" a="1"/>
  <c r="K529" i="1" s="1"/>
  <c r="K525" i="1" a="1"/>
  <c r="K525" i="1" s="1"/>
  <c r="K520" i="1" a="1"/>
  <c r="K520" i="1" s="1"/>
  <c r="K522" i="1" a="1"/>
  <c r="K522" i="1" s="1"/>
  <c r="K230" i="1" a="1"/>
  <c r="K230" i="1" s="1"/>
  <c r="K502" i="1" a="1"/>
  <c r="K502" i="1" s="1"/>
  <c r="K224" i="1" a="1"/>
  <c r="K224" i="1" s="1"/>
  <c r="K516" i="1" a="1"/>
  <c r="K516" i="1" s="1"/>
  <c r="K486" i="1" a="1"/>
  <c r="K486" i="1" s="1"/>
  <c r="K297" i="1" a="1"/>
  <c r="K297" i="1" s="1"/>
  <c r="K474" i="1" a="1"/>
  <c r="K474" i="1" s="1"/>
  <c r="K278" i="1" a="1"/>
  <c r="K278" i="1" s="1"/>
  <c r="K453" i="1" a="1"/>
  <c r="K453" i="1" s="1"/>
  <c r="K446" i="1" a="1"/>
  <c r="K446" i="1" s="1"/>
  <c r="K272" i="1" a="1"/>
  <c r="K272" i="1" s="1"/>
  <c r="K267" i="1" a="1"/>
  <c r="K267" i="1" s="1"/>
  <c r="K430" i="1" a="1"/>
  <c r="K430" i="1" s="1"/>
  <c r="K424" i="1" a="1"/>
  <c r="K424" i="1" s="1"/>
  <c r="K191" i="1" a="1"/>
  <c r="K191" i="1" s="1"/>
  <c r="K409" i="1" a="1"/>
  <c r="K409" i="1" s="1"/>
  <c r="K400" i="1" a="1"/>
  <c r="K400" i="1" s="1"/>
  <c r="K185" i="1" a="1"/>
  <c r="K185" i="1" s="1"/>
  <c r="K139" i="1" a="1"/>
  <c r="K139" i="1" s="1"/>
  <c r="K261" i="1" a="1"/>
  <c r="K261" i="1" s="1"/>
  <c r="K351" i="1" a="1"/>
  <c r="K351" i="1" s="1"/>
  <c r="K343" i="1" a="1"/>
  <c r="K343" i="1" s="1"/>
  <c r="K335" i="1" a="1"/>
  <c r="K335" i="1" s="1"/>
  <c r="K327" i="1" a="1"/>
  <c r="K327" i="1" s="1"/>
  <c r="K320" i="1" a="1"/>
  <c r="K320" i="1" s="1"/>
  <c r="K408" i="1" a="1"/>
  <c r="K408" i="1" s="1"/>
  <c r="K117" i="1" a="1"/>
  <c r="K117" i="1" s="1"/>
  <c r="K299" i="1" a="1"/>
  <c r="K299" i="1" s="1"/>
  <c r="K292" i="1" a="1"/>
  <c r="K292" i="1" s="1"/>
  <c r="K415" i="1" a="1"/>
  <c r="K415" i="1" s="1"/>
  <c r="K253" i="1" a="1"/>
  <c r="K253" i="1" s="1"/>
  <c r="K103" i="1" a="1"/>
  <c r="K103" i="1" s="1"/>
  <c r="K263" i="1" a="1"/>
  <c r="K263" i="1" s="1"/>
  <c r="K257" i="1" a="1"/>
  <c r="K257" i="1" s="1"/>
  <c r="K250" i="1" a="1"/>
  <c r="K250" i="1" s="1"/>
  <c r="K244" i="1" a="1"/>
  <c r="K244" i="1" s="1"/>
  <c r="K96" i="1" a="1"/>
  <c r="K96" i="1" s="1"/>
  <c r="K233" i="1" a="1"/>
  <c r="K233" i="1" s="1"/>
  <c r="K227" i="1" a="1"/>
  <c r="K227" i="1" s="1"/>
  <c r="K236" i="1" a="1"/>
  <c r="K236" i="1" s="1"/>
  <c r="K10" i="1" a="1"/>
  <c r="K10" i="1" s="1"/>
  <c r="K208" i="1" a="1"/>
  <c r="K208" i="1" s="1"/>
  <c r="K202" i="1" a="1"/>
  <c r="K202" i="1" s="1"/>
  <c r="K232" i="1" a="1"/>
  <c r="K232" i="1" s="1"/>
  <c r="K12" i="1" a="1"/>
  <c r="K12" i="1" s="1"/>
  <c r="K183" i="1" a="1"/>
  <c r="K183" i="1" s="1"/>
  <c r="K137" i="1" a="1"/>
  <c r="K137" i="1" s="1"/>
  <c r="K11" i="1" a="1"/>
  <c r="K11" i="1" s="1"/>
  <c r="K251" i="1" a="1"/>
  <c r="K251" i="1" s="1"/>
  <c r="K258" i="1" a="1"/>
  <c r="K258" i="1" s="1"/>
  <c r="K228" i="1" a="1"/>
  <c r="K228" i="1" s="1"/>
  <c r="K376" i="1" a="1"/>
  <c r="K376" i="1" s="1"/>
  <c r="K549" i="1" a="1"/>
  <c r="K549" i="1" s="1"/>
  <c r="K542" i="1" a="1"/>
  <c r="K542" i="1" s="1"/>
  <c r="K538" i="1" a="1"/>
  <c r="K538" i="1" s="1"/>
  <c r="K534" i="1" a="1"/>
  <c r="K534" i="1" s="1"/>
  <c r="K531" i="1" a="1"/>
  <c r="K531" i="1" s="1"/>
  <c r="K526" i="1" a="1"/>
  <c r="K526" i="1" s="1"/>
  <c r="K519" i="1" a="1"/>
  <c r="K519" i="1" s="1"/>
  <c r="K5" i="1" a="1"/>
  <c r="K5" i="1" s="1"/>
  <c r="K507" i="1" a="1"/>
  <c r="K507" i="1" s="1"/>
  <c r="K265" i="1" a="1"/>
  <c r="K265" i="1" s="1"/>
  <c r="K494" i="1" a="1"/>
  <c r="K494" i="1" s="1"/>
  <c r="K488" i="1" a="1"/>
  <c r="K488" i="1" s="1"/>
  <c r="K222" i="1" a="1"/>
  <c r="K222" i="1" s="1"/>
  <c r="K216" i="1" a="1"/>
  <c r="K216" i="1" s="1"/>
  <c r="K466" i="1" a="1"/>
  <c r="K466" i="1" s="1"/>
  <c r="K420" i="1" a="1"/>
  <c r="K420" i="1" s="1"/>
  <c r="K433" i="1" a="1"/>
  <c r="K433" i="1" s="1"/>
  <c r="K439" i="1" a="1"/>
  <c r="K439" i="1" s="1"/>
  <c r="K432" i="1" a="1"/>
  <c r="K432" i="1" s="1"/>
  <c r="K425" i="1" a="1"/>
  <c r="K425" i="1" s="1"/>
  <c r="K418" i="1" a="1"/>
  <c r="K418" i="1" s="1"/>
  <c r="K198" i="1" a="1"/>
  <c r="K198" i="1" s="1"/>
  <c r="K404" i="1" a="1"/>
  <c r="K404" i="1" s="1"/>
  <c r="K398" i="1" a="1"/>
  <c r="K398" i="1" s="1"/>
  <c r="K392" i="1" a="1"/>
  <c r="K392" i="1" s="1"/>
  <c r="K385" i="1" a="1"/>
  <c r="K385" i="1" s="1"/>
  <c r="K482" i="1" a="1"/>
  <c r="K482" i="1" s="1"/>
  <c r="K471" i="1" a="1"/>
  <c r="K471" i="1" s="1"/>
  <c r="K193" i="1" a="1"/>
  <c r="K193" i="1" s="1"/>
  <c r="K344" i="1" a="1"/>
  <c r="K344" i="1" s="1"/>
  <c r="K334" i="1" a="1"/>
  <c r="K334" i="1" s="1"/>
  <c r="K479" i="1" a="1"/>
  <c r="K479" i="1" s="1"/>
  <c r="K473" i="1" a="1"/>
  <c r="K473" i="1" s="1"/>
  <c r="K286" i="1" a="1"/>
  <c r="K286" i="1" s="1"/>
  <c r="K306" i="1" a="1"/>
  <c r="K306" i="1" s="1"/>
  <c r="K462" i="1" a="1"/>
  <c r="K462" i="1" s="1"/>
  <c r="K291" i="1" a="1"/>
  <c r="K291" i="1" s="1"/>
  <c r="K285" i="1" a="1"/>
  <c r="K285" i="1" s="1"/>
  <c r="K138" i="1" a="1"/>
  <c r="K138" i="1" s="1"/>
  <c r="K419" i="1" a="1"/>
  <c r="K419" i="1" s="1"/>
  <c r="K260" i="1" a="1"/>
  <c r="K260" i="1" s="1"/>
  <c r="K197" i="1" a="1"/>
  <c r="K197" i="1" s="1"/>
  <c r="K186" i="1" a="1"/>
  <c r="K186" i="1" s="1"/>
  <c r="K140" i="1" a="1"/>
  <c r="K140" i="1" s="1"/>
  <c r="K132" i="1" a="1"/>
  <c r="K132" i="1" s="1"/>
  <c r="K3" i="1" a="1"/>
  <c r="K3" i="1" s="1"/>
  <c r="K113" i="1" a="1"/>
  <c r="K113" i="1" s="1"/>
  <c r="K106" i="1" a="1"/>
  <c r="K106" i="1" s="1"/>
  <c r="K93" i="1" a="1"/>
  <c r="K93" i="1" s="1"/>
  <c r="K402" i="1" a="1"/>
  <c r="K402" i="1" s="1"/>
  <c r="K527" i="1" a="1"/>
  <c r="K527" i="1" s="1"/>
  <c r="K111" i="1" a="1"/>
  <c r="K111" i="1" s="1"/>
  <c r="K107" i="1" a="1"/>
  <c r="K107" i="1" s="1"/>
  <c r="K322" i="1" a="1"/>
  <c r="K322" i="1" s="1"/>
  <c r="K500" i="1" a="1"/>
  <c r="K500" i="1" s="1"/>
  <c r="K374" i="1" a="1"/>
  <c r="K374" i="1" s="1"/>
  <c r="K368" i="1" a="1"/>
  <c r="K368" i="1" s="1"/>
  <c r="K92" i="1" a="1"/>
  <c r="K92" i="1" s="1"/>
  <c r="K440" i="1" a="1"/>
  <c r="K440" i="1" s="1"/>
  <c r="K447" i="1" a="1"/>
  <c r="K447" i="1" s="1"/>
  <c r="K451" i="1" a="1"/>
  <c r="K451" i="1" s="1"/>
  <c r="K444" i="1" a="1"/>
  <c r="K444" i="1" s="1"/>
  <c r="K438" i="1" a="1"/>
  <c r="K438" i="1" s="1"/>
  <c r="K431" i="1" a="1"/>
  <c r="K431" i="1" s="1"/>
  <c r="K9" i="1" a="1"/>
  <c r="K9" i="1" s="1"/>
  <c r="K396" i="1" a="1"/>
  <c r="K396" i="1" s="1"/>
  <c r="K554" i="1" a="1"/>
  <c r="K554" i="1" s="1"/>
  <c r="K422" i="1" a="1"/>
  <c r="K422" i="1" s="1"/>
  <c r="K443" i="1" a="1"/>
  <c r="K443" i="1" s="1"/>
  <c r="K544" i="1" a="1"/>
  <c r="K544" i="1" s="1"/>
  <c r="K517" i="1" a="1"/>
  <c r="K517" i="1" s="1"/>
  <c r="K454" i="1" a="1"/>
  <c r="K454" i="1" s="1"/>
  <c r="K315" i="1" a="1"/>
  <c r="K315" i="1" s="1"/>
  <c r="K363" i="1" a="1"/>
  <c r="K363" i="1" s="1"/>
  <c r="K489" i="1" a="1"/>
  <c r="K489" i="1" s="1"/>
  <c r="K309" i="1" a="1"/>
  <c r="K309" i="1" s="1"/>
  <c r="K501" i="1" a="1"/>
  <c r="K501" i="1" s="1"/>
  <c r="K468" i="1" a="1"/>
  <c r="K468" i="1" s="1"/>
  <c r="K298" i="1" a="1"/>
  <c r="K298" i="1" s="1"/>
  <c r="K514" i="1" a="1"/>
  <c r="K514" i="1" s="1"/>
  <c r="K426" i="1" a="1"/>
  <c r="K426" i="1" s="1"/>
  <c r="K536" i="1" a="1"/>
  <c r="K536" i="1" s="1"/>
  <c r="K552" i="1" a="1"/>
  <c r="K552" i="1" s="1"/>
  <c r="K407" i="1" a="1"/>
  <c r="K407" i="1" s="1"/>
  <c r="K528" i="1" a="1"/>
  <c r="K528" i="1" s="1"/>
  <c r="K266" i="1" a="1"/>
  <c r="K266" i="1" s="1"/>
  <c r="K255" i="1" a="1"/>
  <c r="K255" i="1" s="1"/>
  <c r="K259" i="1" a="1"/>
  <c r="K259" i="1" s="1"/>
  <c r="K243" i="1" a="1"/>
  <c r="K243" i="1" s="1"/>
  <c r="K238" i="1" a="1"/>
  <c r="K238" i="1" s="1"/>
  <c r="K523" i="1" a="1"/>
  <c r="K523" i="1" s="1"/>
  <c r="K215" i="1" a="1"/>
  <c r="K215" i="1" s="1"/>
  <c r="K221" i="1" a="1"/>
  <c r="K221" i="1" s="1"/>
  <c r="K214" i="1" a="1"/>
  <c r="K214" i="1" s="1"/>
  <c r="K241" i="1" a="1"/>
  <c r="K241" i="1" s="1"/>
  <c r="K199" i="1" a="1"/>
  <c r="K199" i="1" s="1"/>
  <c r="K194" i="1" a="1"/>
  <c r="K194" i="1" s="1"/>
  <c r="K188" i="1" a="1"/>
  <c r="K188" i="1" s="1"/>
  <c r="K510" i="1" a="1"/>
  <c r="K510" i="1" s="1"/>
  <c r="K135" i="1" a="1"/>
  <c r="K135" i="1" s="1"/>
  <c r="K229" i="1" a="1"/>
  <c r="K229" i="1" s="1"/>
  <c r="K123" i="1" a="1"/>
  <c r="K123" i="1" s="1"/>
  <c r="K223" i="1" a="1"/>
  <c r="K223" i="1" s="1"/>
  <c r="K110" i="1" a="1"/>
  <c r="K110" i="1" s="1"/>
  <c r="K101" i="1" a="1"/>
  <c r="K101" i="1" s="1"/>
  <c r="K97" i="1" a="1"/>
  <c r="K97" i="1" s="1"/>
  <c r="K217" i="1" a="1"/>
  <c r="K217" i="1" s="1"/>
  <c r="K450" i="1" a="1"/>
  <c r="K450" i="1" s="1"/>
  <c r="K504" i="1" a="1"/>
  <c r="K504" i="1" s="1"/>
  <c r="K207" i="1" a="1"/>
  <c r="K207" i="1" s="1"/>
  <c r="K201" i="1" a="1"/>
  <c r="K201" i="1" s="1"/>
  <c r="K535" i="1" a="1"/>
  <c r="K535" i="1" s="1"/>
  <c r="K532" i="1" a="1"/>
  <c r="K532" i="1" s="1"/>
  <c r="K192" i="1" a="1"/>
  <c r="K192" i="1" s="1"/>
  <c r="K499" i="1" a="1"/>
  <c r="K499" i="1" s="1"/>
  <c r="K512" i="1" a="1"/>
  <c r="K512" i="1" s="1"/>
  <c r="K133" i="1" a="1"/>
  <c r="K133" i="1" s="1"/>
  <c r="K497" i="1" a="1"/>
  <c r="K497" i="1" s="1"/>
  <c r="K126" i="1" a="1"/>
  <c r="K126" i="1" s="1"/>
  <c r="K484" i="1" a="1"/>
  <c r="K484" i="1" s="1"/>
  <c r="K477" i="1" a="1"/>
  <c r="K477" i="1" s="1"/>
  <c r="K493" i="1" a="1"/>
  <c r="K493" i="1" s="1"/>
  <c r="K449" i="1" a="1"/>
  <c r="K449" i="1" s="1"/>
  <c r="K112" i="1" a="1"/>
  <c r="K112" i="1" s="1"/>
  <c r="K487" i="1" a="1"/>
  <c r="K487" i="1" s="1"/>
  <c r="K98" i="1" a="1"/>
  <c r="K98" i="1" s="1"/>
  <c r="K91" i="1" a="1"/>
  <c r="K91" i="1" s="1"/>
  <c r="K412" i="1" a="1"/>
  <c r="K412" i="1" s="1"/>
  <c r="K87" i="1" a="1"/>
  <c r="K87" i="1" s="1"/>
  <c r="K401" i="1" a="1"/>
  <c r="K401" i="1" s="1"/>
  <c r="K13" i="1" a="1"/>
  <c r="K13" i="1" s="1"/>
  <c r="K305" i="1" a="1"/>
  <c r="K305" i="1" s="1"/>
  <c r="K312" i="1" a="1"/>
  <c r="K312" i="1" s="1"/>
  <c r="K548" i="1" a="1"/>
  <c r="K548" i="1" s="1"/>
  <c r="K371" i="1" a="1"/>
  <c r="K371" i="1" s="1"/>
  <c r="K481" i="1" a="1"/>
  <c r="K481" i="1" s="1"/>
  <c r="K508" i="1" a="1"/>
  <c r="K508" i="1" s="1"/>
  <c r="K337" i="1" a="1"/>
  <c r="K337" i="1" s="1"/>
  <c r="K330" i="1" a="1"/>
  <c r="K330" i="1" s="1"/>
  <c r="K323" i="1" a="1"/>
  <c r="K323" i="1" s="1"/>
  <c r="K119" i="1" a="1"/>
  <c r="K119" i="1" s="1"/>
  <c r="K483" i="1" a="1"/>
  <c r="K483" i="1" s="1"/>
  <c r="K301" i="1" a="1"/>
  <c r="K301" i="1" s="1"/>
  <c r="K295" i="1" a="1"/>
  <c r="K295" i="1" s="1"/>
  <c r="K469" i="1" a="1"/>
  <c r="K469" i="1" s="1"/>
  <c r="K452" i="1" a="1"/>
  <c r="K452" i="1" s="1"/>
  <c r="K276" i="1" a="1"/>
  <c r="K276" i="1" s="1"/>
  <c r="K445" i="1" a="1"/>
  <c r="K445" i="1" s="1"/>
  <c r="K437" i="1" a="1"/>
  <c r="K437" i="1" s="1"/>
  <c r="K270" i="1" a="1"/>
  <c r="K270" i="1" s="1"/>
  <c r="K543" i="1" a="1"/>
  <c r="K543" i="1" s="1"/>
  <c r="K414" i="1" a="1"/>
  <c r="K414" i="1" s="1"/>
  <c r="K405" i="1" a="1"/>
  <c r="K405" i="1" s="1"/>
  <c r="K442" i="1" a="1"/>
  <c r="K442" i="1" s="1"/>
  <c r="K390" i="1" a="1"/>
  <c r="K390" i="1" s="1"/>
  <c r="K434" i="1" a="1"/>
  <c r="K434" i="1" s="1"/>
  <c r="K210" i="1" a="1"/>
  <c r="K210" i="1" s="1"/>
  <c r="K204" i="1" a="1"/>
  <c r="K204" i="1" s="1"/>
  <c r="K372" i="1" a="1"/>
  <c r="K372" i="1" s="1"/>
  <c r="K189" i="1" a="1"/>
  <c r="K189" i="1" s="1"/>
  <c r="K427" i="1" a="1"/>
  <c r="K427" i="1" s="1"/>
  <c r="K421" i="1" a="1"/>
  <c r="K421" i="1" s="1"/>
  <c r="K333" i="1" a="1"/>
  <c r="K333" i="1" s="1"/>
  <c r="K325" i="1" a="1"/>
  <c r="K325" i="1" s="1"/>
  <c r="K114" i="1" a="1"/>
  <c r="K114" i="1" s="1"/>
  <c r="K109" i="1" a="1"/>
  <c r="K109" i="1" s="1"/>
  <c r="K105" i="1" a="1"/>
  <c r="K105" i="1" s="1"/>
  <c r="K540" i="1" a="1"/>
  <c r="K540" i="1" s="1"/>
  <c r="K539" i="1" a="1"/>
  <c r="K539" i="1" s="1"/>
  <c r="K304" i="1" a="1"/>
  <c r="K304" i="1" s="1"/>
  <c r="K399" i="1" a="1"/>
  <c r="K399" i="1" s="1"/>
  <c r="K521" i="1" a="1"/>
  <c r="K521" i="1" s="1"/>
  <c r="K513" i="1" a="1"/>
  <c r="K513" i="1" s="1"/>
  <c r="K506" i="1" a="1"/>
  <c r="K506" i="1" s="1"/>
  <c r="K282" i="1" a="1"/>
  <c r="K282" i="1" s="1"/>
  <c r="K491" i="1" a="1"/>
  <c r="K491" i="1" s="1"/>
  <c r="K485" i="1" a="1"/>
  <c r="K485" i="1" s="1"/>
  <c r="K478" i="1" a="1"/>
  <c r="K478" i="1" s="1"/>
  <c r="K472" i="1" a="1"/>
  <c r="K472" i="1" s="1"/>
  <c r="K465" i="1" a="1"/>
  <c r="K465" i="1" s="1"/>
  <c r="K273" i="1" a="1"/>
  <c r="K273" i="1" s="1"/>
  <c r="K381" i="1" a="1"/>
  <c r="K381" i="1" s="1"/>
  <c r="K388" i="1" a="1"/>
  <c r="K388" i="1" s="1"/>
  <c r="K252" i="1" a="1"/>
  <c r="K252" i="1" s="1"/>
  <c r="K383" i="1" a="1"/>
  <c r="K383" i="1" s="1"/>
  <c r="K416" i="1" a="1"/>
  <c r="K416" i="1" s="1"/>
  <c r="K239" i="1" a="1"/>
  <c r="K239" i="1" s="1"/>
  <c r="K403" i="1" a="1"/>
  <c r="K403" i="1" s="1"/>
  <c r="K377" i="1" a="1"/>
  <c r="K377" i="1" s="1"/>
  <c r="K391" i="1" a="1"/>
  <c r="K391" i="1" s="1"/>
  <c r="K384" i="1" a="1"/>
  <c r="K384" i="1" s="1"/>
  <c r="K378" i="1" a="1"/>
  <c r="K378" i="1" s="1"/>
  <c r="K375" i="1" a="1"/>
  <c r="K375" i="1" s="1"/>
  <c r="K348" i="1" a="1"/>
  <c r="K348" i="1" s="1"/>
  <c r="K339" i="1" a="1"/>
  <c r="K339" i="1" s="1"/>
  <c r="K331" i="1" a="1"/>
  <c r="K331" i="1" s="1"/>
  <c r="K324" i="1" a="1"/>
  <c r="K324" i="1" s="1"/>
  <c r="K317" i="1" a="1"/>
  <c r="K317" i="1" s="1"/>
  <c r="K310" i="1" a="1"/>
  <c r="K310" i="1" s="1"/>
  <c r="K303" i="1" a="1"/>
  <c r="K303" i="1" s="1"/>
  <c r="K294" i="1" a="1"/>
  <c r="K294" i="1" s="1"/>
  <c r="K287" i="1" a="1"/>
  <c r="K287" i="1" s="1"/>
  <c r="K281" i="1" a="1"/>
  <c r="K281" i="1" s="1"/>
  <c r="K274" i="1" a="1"/>
  <c r="K274" i="1" s="1"/>
  <c r="K264" i="1" a="1"/>
  <c r="K264" i="1" s="1"/>
  <c r="K219" i="1" a="1"/>
  <c r="K219" i="1" s="1"/>
  <c r="K350" i="1" a="1"/>
  <c r="K350" i="1" s="1"/>
  <c r="K205" i="1" a="1"/>
  <c r="K205" i="1" s="1"/>
  <c r="K307" i="1" a="1"/>
  <c r="K307" i="1" s="1"/>
  <c r="K338" i="1" a="1"/>
  <c r="K338" i="1" s="1"/>
  <c r="K387" i="1" a="1"/>
  <c r="K387" i="1" s="1"/>
  <c r="K211" i="1" a="1"/>
  <c r="K211" i="1" s="1"/>
  <c r="K203" i="1" a="1"/>
  <c r="K203" i="1" s="1"/>
  <c r="K530" i="1" a="1"/>
  <c r="K530" i="1" s="1"/>
  <c r="K187" i="1" a="1"/>
  <c r="K187" i="1" s="1"/>
  <c r="K180" i="1" a="1"/>
  <c r="K180" i="1" s="1"/>
  <c r="K134" i="1" a="1"/>
  <c r="K134" i="1" s="1"/>
  <c r="K125" i="1" a="1"/>
  <c r="K125" i="1" s="1"/>
  <c r="K128" i="1" a="1"/>
  <c r="K128" i="1" s="1"/>
  <c r="K395" i="1" a="1"/>
  <c r="K395" i="1" s="1"/>
  <c r="K313" i="1" a="1"/>
  <c r="K313" i="1" s="1"/>
  <c r="K495" i="1" a="1"/>
  <c r="K49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<sst xmlns="http://schemas.openxmlformats.org/spreadsheetml/2006/main" count="681" uniqueCount="41">
  <si>
    <t>FAV</t>
  </si>
  <si>
    <t>Spread</t>
  </si>
  <si>
    <t>DOG</t>
  </si>
  <si>
    <t>SPREAD</t>
  </si>
  <si>
    <t>TOTAL</t>
  </si>
  <si>
    <t>Date</t>
  </si>
  <si>
    <t>Home</t>
  </si>
  <si>
    <t>Away</t>
  </si>
  <si>
    <t>My Total</t>
  </si>
  <si>
    <t>CL Tot</t>
  </si>
  <si>
    <t>My Spread</t>
  </si>
  <si>
    <t>CL Spr</t>
  </si>
  <si>
    <t>Injury</t>
  </si>
  <si>
    <t>Total Diff</t>
  </si>
  <si>
    <t>Spread Diff</t>
  </si>
  <si>
    <t>Total Avg</t>
  </si>
  <si>
    <t>Spread Avg</t>
  </si>
  <si>
    <t>Act Tot</t>
  </si>
  <si>
    <t>Act Spr</t>
  </si>
  <si>
    <t>HOME</t>
  </si>
  <si>
    <t>Avg Close</t>
  </si>
  <si>
    <t>Avg Act</t>
  </si>
  <si>
    <t>AWAY</t>
  </si>
  <si>
    <t>Closing</t>
  </si>
  <si>
    <t>Actual</t>
  </si>
  <si>
    <t>NYL</t>
  </si>
  <si>
    <t>CON</t>
  </si>
  <si>
    <t>N</t>
  </si>
  <si>
    <t>TOR</t>
  </si>
  <si>
    <t>WAS</t>
  </si>
  <si>
    <t>ATL</t>
  </si>
  <si>
    <t>SEA</t>
  </si>
  <si>
    <t>GSV</t>
  </si>
  <si>
    <t>IND</t>
  </si>
  <si>
    <t>DAL</t>
  </si>
  <si>
    <t>LVA</t>
  </si>
  <si>
    <t>PHX</t>
  </si>
  <si>
    <t>POR</t>
  </si>
  <si>
    <t>CHI</t>
  </si>
  <si>
    <t>MIN</t>
  </si>
  <si>
    <t>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</si>
</sst>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" fontId="0" fillId="0" borderId="0" xfId="0" applyNumberFormat="1"/>
    <xf numFmtId="0" fontId="0" fillId="6" borderId="3" xfId="0" applyFill="1" applyBorder="1"/>
    <xf numFmtId="0" fontId="0" fillId="6" borderId="4" xfId="0" applyFill="1" applyBorder="1"/>
    <xf numFmtId="0" fontId="0" fillId="0" borderId="3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nduelgroup.sharepoint.com/sites/NJTradingTeam/Shared%20Documents/General/WNBA/WNBA%202025/Trading%20Sheet/WNBA%20Trading%20Sheet%2025.xlsx" TargetMode="External"/><Relationship Id="rId1" Type="http://schemas.openxmlformats.org/officeDocument/2006/relationships/externalLinkPath" Target="https://fanduelgroup.sharepoint.com/sites/NJTradingTeam/Shared%20Documents/General/WNBA/WNBA%202025/Trading%20Sheet/WNBA%20Trading%20Shee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DING SHEET"/>
      <sheetName val="BIR SCHEDULE"/>
      <sheetName val="Playoff Core Pricing Opinions"/>
      <sheetName val="PROP GLOBAL HANDOVER"/>
      <sheetName val="TRADER RATINGS"/>
      <sheetName val="SPRINGBOX CHECKLIST"/>
      <sheetName val="Game Prop Pricing"/>
      <sheetName val="FUTURES LINKS"/>
      <sheetName val="Lists"/>
      <sheetName val="BEAT WRITERS"/>
      <sheetName val="PROP CONSENSUS"/>
      <sheetName val="NEW MARKET IDEAS H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Atlanta Dream</v>
          </cell>
        </row>
        <row r="3">
          <cell r="A3" t="str">
            <v>Chicago Sky</v>
          </cell>
        </row>
        <row r="4">
          <cell r="A4" t="str">
            <v>Connecticut Sun</v>
          </cell>
        </row>
        <row r="5">
          <cell r="A5" t="str">
            <v>Dallas WIngs</v>
          </cell>
        </row>
        <row r="6">
          <cell r="A6" t="str">
            <v>Golden State Valkyries</v>
          </cell>
        </row>
        <row r="7">
          <cell r="A7" t="str">
            <v>Indiana Fever</v>
          </cell>
        </row>
        <row r="8">
          <cell r="A8" t="str">
            <v>Las Vegas Aces</v>
          </cell>
        </row>
        <row r="9">
          <cell r="A9" t="str">
            <v>Los Angeles Sparks</v>
          </cell>
        </row>
        <row r="10">
          <cell r="A10" t="str">
            <v>Minnesota Lynx</v>
          </cell>
        </row>
        <row r="11">
          <cell r="A11" t="str">
            <v>New York Liberty</v>
          </cell>
        </row>
        <row r="12">
          <cell r="A12" t="str">
            <v>Phoenix Mercury</v>
          </cell>
        </row>
        <row r="13">
          <cell r="A13" t="str">
            <v>Seattle Storm</v>
          </cell>
        </row>
        <row r="14">
          <cell r="A14" t="str">
            <v>Washington Mystics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F804-D36D-4F80-B785-17584417C778}">
  <sheetPr codeName="Sheet1">
    <tabColor theme="0"/>
  </sheetPr>
  <dimension ref="A1:AJ555"/>
  <sheetViews>
    <sheetView tabSelected="1" workbookViewId="0">
      <selection activeCell="Z4" sqref="Z4"/>
    </sheetView>
  </sheetViews>
  <sheetFormatPr defaultRowHeight="15" x14ac:dyDescent="0.25"/>
  <cols>
    <col min="1" max="1" width="6.7109375" bestFit="1" customWidth="1"/>
    <col min="2" max="2" width="6.140625" bestFit="1" customWidth="1"/>
    <col min="3" max="3" width="5.5703125" bestFit="1" customWidth="1"/>
    <col min="4" max="4" width="8.28515625" bestFit="1" customWidth="1"/>
    <col min="5" max="5" width="7.28515625" customWidth="1"/>
    <col min="6" max="6" width="10" bestFit="1" customWidth="1"/>
    <col min="7" max="7" width="7.42578125" customWidth="1"/>
    <col min="8" max="8" width="6" bestFit="1" customWidth="1"/>
    <col min="9" max="9" width="8.85546875" bestFit="1" customWidth="1"/>
    <col min="10" max="10" width="10.5703125" bestFit="1" customWidth="1"/>
    <col min="12" max="12" width="10.5703125" bestFit="1" customWidth="1"/>
    <col min="13" max="13" width="8.7109375" customWidth="1"/>
    <col min="14" max="14" width="8.5703125" customWidth="1"/>
    <col min="15" max="15" width="8.85546875" bestFit="1" customWidth="1"/>
    <col min="16" max="16" width="10.5703125" bestFit="1" customWidth="1"/>
    <col min="17" max="17" width="5.7109375" customWidth="1"/>
    <col min="18" max="18" width="11.42578125" customWidth="1"/>
    <col min="19" max="19" width="9.7109375" bestFit="1" customWidth="1"/>
    <col min="20" max="20" width="2.42578125" style="2" customWidth="1"/>
    <col min="21" max="21" width="6" bestFit="1" customWidth="1"/>
    <col min="24" max="24" width="2.42578125" style="2" customWidth="1"/>
    <col min="25" max="25" width="6.28515625" bestFit="1" customWidth="1"/>
    <col min="28" max="28" width="2.42578125" style="2" customWidth="1"/>
    <col min="29" max="29" width="6" bestFit="1" customWidth="1"/>
    <col min="32" max="32" width="2.42578125" style="3" customWidth="1"/>
    <col min="34" max="34" width="12" bestFit="1" customWidth="1"/>
    <col min="35" max="35" width="10.140625" bestFit="1" customWidth="1"/>
  </cols>
  <sheetData>
    <row r="1" spans="1:36" ht="15.75" thickBot="1" x14ac:dyDescent="0.3">
      <c r="Q1" t="s">
        <v>0</v>
      </c>
      <c r="R1" s="1" t="s">
        <v>1</v>
      </c>
      <c r="S1" s="1"/>
      <c r="U1" t="s">
        <v>0</v>
      </c>
      <c r="V1" s="1" t="s">
        <v>1</v>
      </c>
      <c r="W1" s="1"/>
      <c r="Y1" t="s">
        <v>2</v>
      </c>
      <c r="Z1" s="1" t="s">
        <v>1</v>
      </c>
      <c r="AA1" s="1"/>
      <c r="AC1" t="s">
        <v>2</v>
      </c>
      <c r="AD1" s="1" t="s">
        <v>1</v>
      </c>
      <c r="AE1" s="1"/>
      <c r="AG1" s="4" t="s">
        <v>3</v>
      </c>
      <c r="AH1" s="4"/>
      <c r="AI1" s="5" t="s">
        <v>4</v>
      </c>
      <c r="AJ1" s="5"/>
    </row>
    <row r="2" spans="1:36" x14ac:dyDescent="0.2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7" t="s">
        <v>13</v>
      </c>
      <c r="J2" s="8" t="s">
        <v>14</v>
      </c>
      <c r="K2" s="7" t="s">
        <v>15</v>
      </c>
      <c r="L2" s="7" t="s">
        <v>16</v>
      </c>
      <c r="M2" s="6" t="s">
        <v>17</v>
      </c>
      <c r="N2" s="6" t="s">
        <v>18</v>
      </c>
      <c r="O2" s="7" t="s">
        <v>13</v>
      </c>
      <c r="P2" s="8" t="s">
        <v>14</v>
      </c>
      <c r="Q2" s="9" t="s">
        <v>19</v>
      </c>
      <c r="R2" s="9" t="s">
        <v>20</v>
      </c>
      <c r="S2" s="9" t="s">
        <v>21</v>
      </c>
      <c r="T2" s="10"/>
      <c r="U2" s="9" t="s">
        <v>22</v>
      </c>
      <c r="V2" s="9" t="s">
        <v>20</v>
      </c>
      <c r="W2" s="9" t="s">
        <v>21</v>
      </c>
      <c r="X2" s="10"/>
      <c r="Y2" s="9" t="s">
        <v>19</v>
      </c>
      <c r="Z2" s="9" t="s">
        <v>20</v>
      </c>
      <c r="AA2" s="9" t="s">
        <v>21</v>
      </c>
      <c r="AB2" s="10"/>
      <c r="AC2" s="9" t="s">
        <v>22</v>
      </c>
      <c r="AD2" s="9" t="s">
        <v>20</v>
      </c>
      <c r="AE2" s="9" t="s">
        <v>21</v>
      </c>
      <c r="AF2" s="11"/>
      <c r="AG2" s="9" t="s">
        <v>23</v>
      </c>
      <c r="AH2" s="9" t="s">
        <v>24</v>
      </c>
      <c r="AI2" s="9" t="s">
        <v>23</v>
      </c>
      <c r="AJ2" s="9" t="s">
        <v>24</v>
      </c>
    </row>
    <row r="3" spans="1:36" x14ac:dyDescent="0.25">
      <c r="A3" s="12">
        <v>46133</v>
      </c>
      <c r="B3" t="s">
        <v>25</v>
      </c>
      <c r="C3" t="s">
        <v>26</v>
      </c>
      <c r="D3">
        <v>163.5</v>
      </c>
      <c r="F3">
        <v>-17.2</v>
      </c>
      <c r="H3" s="6" t="s">
        <v>27</v>
      </c>
      <c r="I3" s="13">
        <f>(E3-D3)</f>
        <v>-163.5</v>
      </c>
      <c r="J3" s="14">
        <f>(G3-F3)</f>
        <v>17.2</v>
      </c>
      <c r="K3" s="15" cm="1">
        <f t="array" ref="K3">AVERAGE(ABS($I$3:I3))</f>
        <v>163.5</v>
      </c>
      <c r="L3" s="15" cm="1">
        <f t="array" ref="L3">AVERAGE(ABS($J$3:J3))</f>
        <v>17.2</v>
      </c>
      <c r="O3" s="13">
        <f>(M3-D3)</f>
        <v>-163.5</v>
      </c>
      <c r="P3" s="14">
        <f>(N3-F3)</f>
        <v>17.2</v>
      </c>
      <c r="Q3" t="s">
        <v>25</v>
      </c>
      <c r="R3">
        <f>-(IFERROR(AVERAGEIFS($J:$J,$B:$B,Q3,$F:$F,"&lt;0"),""))</f>
        <v>-10.6</v>
      </c>
      <c r="S3">
        <f>-IFERROR(AVERAGEIFS($P:$P, $B:$B, Q3, $F:$F, "&lt;0"), "")</f>
        <v>-10.6</v>
      </c>
      <c r="U3" t="s">
        <v>25</v>
      </c>
      <c r="V3" t="str">
        <f>IFERROR(AVERAGEIFS($J:$J, $C:$C, U3, $F:$F, "&gt;0"), "")</f>
        <v/>
      </c>
      <c r="W3" t="str">
        <f>IFERROR(AVERAGEIFS($P:$P, $C:$C, U3, $F:$F, "&gt;0"), "")</f>
        <v/>
      </c>
      <c r="Y3" t="s">
        <v>25</v>
      </c>
      <c r="Z3" t="e">
        <f>-IFERROR(AVERAGEIFS($J:$J, $B:$B, Y3, $F:$F, "&gt;0"), "")</f>
        <v>#VALUE!</v>
      </c>
      <c r="AA3" t="e">
        <f>-IFERROR(AVERAGEIFS($P:$P, $B:$B, Y3, $F:$F, "&gt;0"), "")</f>
        <v>#VALUE!</v>
      </c>
      <c r="AC3" t="s">
        <v>25</v>
      </c>
      <c r="AD3" t="str">
        <f>IFERROR(AVERAGEIFS($J:$J, $C:$C, AC3, $F:$F, "&lt;0"), "")</f>
        <v/>
      </c>
      <c r="AE3" t="str">
        <f>IFERROR(AVERAGEIFS($P:$P, $C:$C, AC3, $F:$F, "&lt;0"), "")</f>
        <v/>
      </c>
      <c r="AG3" t="e">
        <f>AVERAGE(R3,V3,Z3,AD3)</f>
        <v>#VALUE!</v>
      </c>
      <c r="AH3" t="e">
        <f>AVERAGE(S3,W3,AA3,AE3)</f>
        <v>#VALUE!</v>
      </c>
      <c r="AI3" s="16" cm="1">
        <f t="array" ref="AI3">IFERROR(AVERAGE(_xlfn._xlws.FILTER($I:$I, ($B:$B=Q3)+($C:$C=Q2))), "")</f>
        <v>-162.5</v>
      </c>
      <c r="AJ3" s="16" cm="1">
        <f t="array" ref="AJ3">IFERROR(AVERAGE(_xlfn._xlws.FILTER($O:$O, ($B:$B=Q3)+($C:$C=Q3))), "")</f>
        <v>-162.5</v>
      </c>
    </row>
    <row r="4" spans="1:36" x14ac:dyDescent="0.25">
      <c r="A4" s="12">
        <v>46133</v>
      </c>
      <c r="B4" t="s">
        <v>28</v>
      </c>
      <c r="C4" t="s">
        <v>29</v>
      </c>
      <c r="D4">
        <v>163.5</v>
      </c>
      <c r="F4">
        <v>-0.4</v>
      </c>
      <c r="H4" s="6" t="s">
        <v>27</v>
      </c>
      <c r="I4" s="13">
        <f t="shared" ref="I4:I67" si="0">(E4-D4)</f>
        <v>-163.5</v>
      </c>
      <c r="J4" s="14">
        <f t="shared" ref="J4:J67" si="1">(G4-F4)</f>
        <v>0.4</v>
      </c>
      <c r="K4" s="15" cm="1">
        <f t="array" ref="K4">AVERAGE(ABS($I$3:I4))</f>
        <v>163.5</v>
      </c>
      <c r="L4" s="15" cm="1">
        <f t="array" ref="L4">AVERAGE(ABS($J$3:J4))</f>
        <v>8.7999999999999989</v>
      </c>
      <c r="O4" s="13">
        <f t="shared" ref="O4:O67" si="2">(M4-D4)</f>
        <v>-163.5</v>
      </c>
      <c r="P4" s="14">
        <f t="shared" ref="P4:P67" si="3">(N4-F4)</f>
        <v>0.4</v>
      </c>
      <c r="Q4" t="s">
        <v>30</v>
      </c>
      <c r="R4" t="e">
        <f t="shared" ref="R4:R17" si="4">-(IFERROR(AVERAGEIFS($J:$J, $B:$B, Q4, $F:$F, "&lt;0"), ""))</f>
        <v>#VALUE!</v>
      </c>
      <c r="S4" t="e">
        <f t="shared" ref="S4:S17" si="5">-IFERROR(AVERAGEIFS($P:$P, $B:$B, Q4, $F:$F, "&lt;0"), "")</f>
        <v>#VALUE!</v>
      </c>
      <c r="U4" t="s">
        <v>30</v>
      </c>
      <c r="V4">
        <f>IFERROR(AVERAGEIFS($J:$J, $C:$C, U4, $F:$F, "&gt;0"), "")</f>
        <v>-6.5</v>
      </c>
      <c r="W4">
        <f>IFERROR(AVERAGEIFS($P:$P, $C:$C, U4, $F:$F, "&gt;0"), "")</f>
        <v>-6.5</v>
      </c>
      <c r="Y4" t="s">
        <v>30</v>
      </c>
      <c r="Z4" t="e">
        <f t="shared" ref="Z4:Z17" si="6">-IFERROR(AVERAGEIFS($J:$J, $B:$B, Y4, $F:$F, "&gt;0"), "")</f>
        <v>#VALUE!</v>
      </c>
      <c r="AA4" t="e">
        <f t="shared" ref="AA4:AA17" si="7">-IFERROR(AVERAGEIFS($P:$P, $B:$B, Y4, $F:$F, "&gt;0"), "")</f>
        <v>#VALUE!</v>
      </c>
      <c r="AC4" t="s">
        <v>30</v>
      </c>
      <c r="AD4" t="str">
        <f>IFERROR(AVERAGEIFS($J:$J, $C:$C, AC4, $F:$F, "&lt;0"), "")</f>
        <v/>
      </c>
      <c r="AE4" t="str">
        <f>IFERROR(AVERAGEIFS($P:$P, $C:$C, AC4, $F:$F, "&lt;0"), "")</f>
        <v/>
      </c>
      <c r="AG4" t="e">
        <f t="shared" ref="AG4:AH17" si="8">AVERAGE(R4,V4,Z4,AD4)</f>
        <v>#VALUE!</v>
      </c>
      <c r="AH4" t="e">
        <f t="shared" si="8"/>
        <v>#VALUE!</v>
      </c>
      <c r="AI4" s="16" cm="1">
        <f t="array" ref="AI4">IFERROR(AVERAGE(_xlfn._xlws.FILTER($I:$I, ($B:$B=Q4)+($C:$C=Q4))), "")</f>
        <v>-160</v>
      </c>
      <c r="AJ4" s="16" cm="1">
        <f t="array" ref="AJ4">IFERROR(AVERAGE(_xlfn._xlws.FILTER($O:$O, ($B:$B=Q4)+($C:$C=Q4))), "")</f>
        <v>-160</v>
      </c>
    </row>
    <row r="5" spans="1:36" x14ac:dyDescent="0.25">
      <c r="A5" s="12">
        <v>46133</v>
      </c>
      <c r="B5" t="s">
        <v>31</v>
      </c>
      <c r="C5" t="s">
        <v>32</v>
      </c>
      <c r="D5">
        <v>163.1</v>
      </c>
      <c r="F5">
        <v>2.2999999999999998</v>
      </c>
      <c r="H5" s="6" t="s">
        <v>27</v>
      </c>
      <c r="I5" s="13">
        <f t="shared" si="0"/>
        <v>-163.1</v>
      </c>
      <c r="J5" s="14">
        <f t="shared" si="1"/>
        <v>-2.2999999999999998</v>
      </c>
      <c r="K5" s="15" cm="1">
        <f t="array" ref="K5">AVERAGE(ABS($I$3:I5))</f>
        <v>163.36666666666667</v>
      </c>
      <c r="L5" s="15" cm="1">
        <f t="array" ref="L5">AVERAGE(ABS($J$3:J5))</f>
        <v>6.6333333333333329</v>
      </c>
      <c r="O5" s="13">
        <f t="shared" si="2"/>
        <v>-163.1</v>
      </c>
      <c r="P5" s="14">
        <f t="shared" si="3"/>
        <v>-2.2999999999999998</v>
      </c>
      <c r="Q5" t="s">
        <v>33</v>
      </c>
      <c r="R5">
        <f t="shared" si="4"/>
        <v>-6.6</v>
      </c>
      <c r="S5">
        <f t="shared" si="5"/>
        <v>-6.6</v>
      </c>
      <c r="U5" t="s">
        <v>33</v>
      </c>
      <c r="V5" t="str">
        <f>IFERROR(AVERAGEIFS($J:$J, $C:$C, U5, $F:$F, "&gt;0"), "")</f>
        <v/>
      </c>
      <c r="W5" t="str">
        <f>IFERROR(AVERAGEIFS($P:$P, $C:$C, U5, $F:$F, "&gt;0"), "")</f>
        <v/>
      </c>
      <c r="Y5" t="s">
        <v>33</v>
      </c>
      <c r="Z5" t="e">
        <f t="shared" si="6"/>
        <v>#VALUE!</v>
      </c>
      <c r="AA5" t="e">
        <f t="shared" si="7"/>
        <v>#VALUE!</v>
      </c>
      <c r="AC5" t="s">
        <v>33</v>
      </c>
      <c r="AD5">
        <f>IFERROR(AVERAGEIFS($J:$J, $C:$C, AC5, $F:$F, "&lt;0"), "")</f>
        <v>4</v>
      </c>
      <c r="AE5">
        <f>IFERROR(AVERAGEIFS($P:$P, $C:$C, AC5, $F:$F, "&lt;0"), "")</f>
        <v>4</v>
      </c>
      <c r="AG5" t="e">
        <f t="shared" si="8"/>
        <v>#VALUE!</v>
      </c>
      <c r="AH5" t="e">
        <f t="shared" si="8"/>
        <v>#VALUE!</v>
      </c>
      <c r="AI5" s="16" cm="1">
        <f t="array" ref="AI5">IFERROR(AVERAGE(_xlfn._xlws.FILTER($I:$I, ($B:$B=Q5)+($C:$C=Q5))), "")</f>
        <v>-163.65</v>
      </c>
      <c r="AJ5" s="16" cm="1">
        <f t="array" ref="AJ5">IFERROR(AVERAGE(_xlfn._xlws.FILTER($O:$O, ($B:$B=Q5)+($C:$C=Q5))), "")</f>
        <v>-163.65</v>
      </c>
    </row>
    <row r="6" spans="1:36" x14ac:dyDescent="0.25">
      <c r="A6" s="12">
        <v>46133</v>
      </c>
      <c r="B6" t="s">
        <v>33</v>
      </c>
      <c r="C6" t="s">
        <v>34</v>
      </c>
      <c r="D6">
        <v>165.8</v>
      </c>
      <c r="F6">
        <v>-6.6</v>
      </c>
      <c r="H6" s="6" t="s">
        <v>27</v>
      </c>
      <c r="I6" s="13">
        <f t="shared" si="0"/>
        <v>-165.8</v>
      </c>
      <c r="J6" s="14">
        <f t="shared" si="1"/>
        <v>6.6</v>
      </c>
      <c r="K6" s="15" cm="1">
        <f t="array" ref="K6">AVERAGE(ABS($I$3:I6))</f>
        <v>163.97500000000002</v>
      </c>
      <c r="L6" s="15" cm="1">
        <f t="array" ref="L6">AVERAGE(ABS($J$3:J6))</f>
        <v>6.625</v>
      </c>
      <c r="O6" s="13">
        <f t="shared" si="2"/>
        <v>-165.8</v>
      </c>
      <c r="P6" s="14">
        <f t="shared" si="3"/>
        <v>6.6</v>
      </c>
      <c r="Q6" t="s">
        <v>35</v>
      </c>
      <c r="R6">
        <f t="shared" si="4"/>
        <v>-7.5</v>
      </c>
      <c r="S6">
        <f t="shared" si="5"/>
        <v>-7.5</v>
      </c>
      <c r="U6" t="s">
        <v>35</v>
      </c>
      <c r="V6" t="str">
        <f>IFERROR(AVERAGEIFS($J:$J, $C:$C, U6, $F:$F, "&gt;0"), "")</f>
        <v/>
      </c>
      <c r="W6" t="str">
        <f>IFERROR(AVERAGEIFS($P:$P, $C:$C, U6, $F:$F, "&gt;0"), "")</f>
        <v/>
      </c>
      <c r="Y6" t="s">
        <v>35</v>
      </c>
      <c r="Z6" t="e">
        <f t="shared" si="6"/>
        <v>#VALUE!</v>
      </c>
      <c r="AA6" t="e">
        <f t="shared" si="7"/>
        <v>#VALUE!</v>
      </c>
      <c r="AC6" t="s">
        <v>35</v>
      </c>
      <c r="AD6" t="str">
        <f>IFERROR(AVERAGEIFS($J:$J, $C:$C, AC6, $F:$F, "&lt;0"), "")</f>
        <v/>
      </c>
      <c r="AE6" t="str">
        <f>IFERROR(AVERAGEIFS($P:$P, $C:$C, AC6, $F:$F, "&lt;0"), "")</f>
        <v/>
      </c>
      <c r="AG6" t="e">
        <f t="shared" si="8"/>
        <v>#VALUE!</v>
      </c>
      <c r="AH6" t="e">
        <f t="shared" si="8"/>
        <v>#VALUE!</v>
      </c>
      <c r="AI6" s="16" cm="1">
        <f t="array" ref="AI6">IFERROR(AVERAGE(_xlfn._xlws.FILTER($I:$I, ($B:$B=Q6)+($C:$C=Q6))), "")</f>
        <v>-162.5</v>
      </c>
      <c r="AJ6" s="16" cm="1">
        <f t="array" ref="AJ6">IFERROR(AVERAGE(_xlfn._xlws.FILTER($O:$O, ($B:$B=Q6)+($C:$C=Q6))), "")</f>
        <v>-162.5</v>
      </c>
    </row>
    <row r="7" spans="1:36" x14ac:dyDescent="0.25">
      <c r="A7" s="12">
        <v>46133</v>
      </c>
      <c r="B7" t="s">
        <v>35</v>
      </c>
      <c r="C7" t="s">
        <v>36</v>
      </c>
      <c r="D7">
        <v>162.5</v>
      </c>
      <c r="F7">
        <v>-7.5</v>
      </c>
      <c r="H7" s="6" t="s">
        <v>27</v>
      </c>
      <c r="I7" s="13">
        <f t="shared" si="0"/>
        <v>-162.5</v>
      </c>
      <c r="J7" s="14">
        <f t="shared" si="1"/>
        <v>7.5</v>
      </c>
      <c r="K7" s="15" cm="1">
        <f t="array" ref="K7">AVERAGE(ABS($I$3:I7))</f>
        <v>163.68</v>
      </c>
      <c r="L7" s="15" cm="1">
        <f t="array" ref="L7">AVERAGE(ABS($J$3:J7))</f>
        <v>6.8</v>
      </c>
      <c r="O7" s="13">
        <f t="shared" si="2"/>
        <v>-162.5</v>
      </c>
      <c r="P7" s="14">
        <f t="shared" si="3"/>
        <v>7.5</v>
      </c>
      <c r="Q7" t="s">
        <v>34</v>
      </c>
      <c r="R7" t="e">
        <f t="shared" si="4"/>
        <v>#VALUE!</v>
      </c>
      <c r="S7" t="e">
        <f t="shared" si="5"/>
        <v>#VALUE!</v>
      </c>
      <c r="U7" t="s">
        <v>34</v>
      </c>
      <c r="V7" t="str">
        <f>IFERROR(AVERAGEIFS($J:$J, $C:$C, U7, $F:$F, "&gt;0"), "")</f>
        <v/>
      </c>
      <c r="W7" t="str">
        <f>IFERROR(AVERAGEIFS($P:$P, $C:$C, U7, $F:$F, "&gt;0"), "")</f>
        <v/>
      </c>
      <c r="Y7" t="s">
        <v>34</v>
      </c>
      <c r="Z7" t="e">
        <f t="shared" si="6"/>
        <v>#VALUE!</v>
      </c>
      <c r="AA7" t="e">
        <f t="shared" si="7"/>
        <v>#VALUE!</v>
      </c>
      <c r="AC7" t="s">
        <v>34</v>
      </c>
      <c r="AD7">
        <f>IFERROR(AVERAGEIFS($J:$J, $C:$C, AC7, $F:$F, "&lt;0"), "")</f>
        <v>6.6</v>
      </c>
      <c r="AE7">
        <f>IFERROR(AVERAGEIFS($P:$P, $C:$C, AC7, $F:$F, "&lt;0"), "")</f>
        <v>6.6</v>
      </c>
      <c r="AG7" t="e">
        <f t="shared" si="8"/>
        <v>#VALUE!</v>
      </c>
      <c r="AH7" t="e">
        <f t="shared" si="8"/>
        <v>#VALUE!</v>
      </c>
      <c r="AI7" s="16" cm="1">
        <f t="array" ref="AI7">IFERROR(AVERAGE(_xlfn._xlws.FILTER($I:$I, ($B:$B=Q7)+($C:$C=Q7))), "")</f>
        <v>-165.8</v>
      </c>
      <c r="AJ7" s="16" cm="1">
        <f t="array" ref="AJ7">IFERROR(AVERAGE(_xlfn._xlws.FILTER($O:$O, ($B:$B=Q7)+($C:$C=Q7))), "")</f>
        <v>-165.8</v>
      </c>
    </row>
    <row r="8" spans="1:36" x14ac:dyDescent="0.25">
      <c r="A8" s="12">
        <v>46133</v>
      </c>
      <c r="B8" t="s">
        <v>37</v>
      </c>
      <c r="C8" t="s">
        <v>38</v>
      </c>
      <c r="D8">
        <v>166.6</v>
      </c>
      <c r="F8">
        <v>3.4</v>
      </c>
      <c r="H8" s="6" t="s">
        <v>27</v>
      </c>
      <c r="I8" s="13">
        <f t="shared" si="0"/>
        <v>-166.6</v>
      </c>
      <c r="J8" s="14">
        <f t="shared" si="1"/>
        <v>-3.4</v>
      </c>
      <c r="K8" s="15" cm="1">
        <f t="array" ref="K8">AVERAGE(ABS($I$3:I8))</f>
        <v>164.16666666666669</v>
      </c>
      <c r="L8" s="15" cm="1">
        <f t="array" ref="L8">AVERAGE(ABS($J$3:J8))</f>
        <v>6.2333333333333334</v>
      </c>
      <c r="O8" s="13">
        <f t="shared" si="2"/>
        <v>-166.6</v>
      </c>
      <c r="P8" s="14">
        <f t="shared" si="3"/>
        <v>-3.4</v>
      </c>
      <c r="Q8" t="s">
        <v>39</v>
      </c>
      <c r="R8" t="e">
        <f t="shared" si="4"/>
        <v>#VALUE!</v>
      </c>
      <c r="S8" t="e">
        <f t="shared" si="5"/>
        <v>#VALUE!</v>
      </c>
      <c r="U8" t="s">
        <v>39</v>
      </c>
      <c r="V8" t="str">
        <f>IFERROR(AVERAGEIFS($J:$J, $C:$C, U8, $F:$F, "&gt;0"), "")</f>
        <v/>
      </c>
      <c r="W8" t="str">
        <f>IFERROR(AVERAGEIFS($P:$P, $C:$C, U8, $F:$F, "&gt;0"), "")</f>
        <v/>
      </c>
      <c r="Y8" t="s">
        <v>39</v>
      </c>
      <c r="Z8" t="e">
        <f t="shared" si="6"/>
        <v>#VALUE!</v>
      </c>
      <c r="AA8" t="e">
        <f t="shared" si="7"/>
        <v>#VALUE!</v>
      </c>
      <c r="AC8" t="s">
        <v>39</v>
      </c>
      <c r="AD8">
        <f>IFERROR(AVERAGEIFS($J:$J, $C:$C, AC8, $F:$F, "&lt;0"), "")</f>
        <v>4.5</v>
      </c>
      <c r="AE8">
        <f>IFERROR(AVERAGEIFS($P:$P, $C:$C, AC8, $F:$F, "&lt;0"), "")</f>
        <v>4.5</v>
      </c>
      <c r="AG8" t="e">
        <f t="shared" si="8"/>
        <v>#VALUE!</v>
      </c>
      <c r="AH8" t="e">
        <f t="shared" si="8"/>
        <v>#VALUE!</v>
      </c>
      <c r="AI8" s="16" cm="1">
        <f t="array" ref="AI8">IFERROR(AVERAGE(_xlfn._xlws.FILTER($I:$I, ($B:$B=Q8)+($C:$C=Q8))), "")</f>
        <v>-160</v>
      </c>
      <c r="AJ8" s="16" cm="1">
        <f t="array" ref="AJ8">IFERROR(AVERAGE(_xlfn._xlws.FILTER($O:$O, ($B:$B=Q8)+($C:$C=Q8))), "")</f>
        <v>-160</v>
      </c>
    </row>
    <row r="9" spans="1:36" x14ac:dyDescent="0.25">
      <c r="A9" s="12">
        <v>46133</v>
      </c>
      <c r="B9" t="s">
        <v>25</v>
      </c>
      <c r="C9" t="s">
        <v>33</v>
      </c>
      <c r="D9">
        <v>161.5</v>
      </c>
      <c r="F9">
        <v>-4</v>
      </c>
      <c r="H9" s="6" t="s">
        <v>27</v>
      </c>
      <c r="I9" s="13">
        <f t="shared" si="0"/>
        <v>-161.5</v>
      </c>
      <c r="J9" s="14">
        <f t="shared" si="1"/>
        <v>4</v>
      </c>
      <c r="K9" s="15" cm="1">
        <f t="array" ref="K9">AVERAGE(ABS($I$3:I9))</f>
        <v>163.78571428571428</v>
      </c>
      <c r="L9" s="15" cm="1">
        <f t="array" ref="L9">AVERAGE(ABS($J$3:J9))</f>
        <v>5.9142857142857137</v>
      </c>
      <c r="O9" s="13">
        <f t="shared" si="2"/>
        <v>-161.5</v>
      </c>
      <c r="P9" s="14">
        <f t="shared" si="3"/>
        <v>4</v>
      </c>
      <c r="Q9" t="s">
        <v>40</v>
      </c>
      <c r="R9" t="e">
        <f t="shared" si="4"/>
        <v>#VALUE!</v>
      </c>
      <c r="S9" t="e">
        <f t="shared" si="5"/>
        <v>#VALUE!</v>
      </c>
      <c r="U9" t="s">
        <v>40</v>
      </c>
      <c r="V9" t="str">
        <f>IFERROR(AVERAGEIFS($J:$J, $C:$C, U9, $F:$F, "&gt;0"), "")</f>
        <v/>
      </c>
      <c r="W9" t="str">
        <f>IFERROR(AVERAGEIFS($P:$P, $C:$C, U9, $F:$F, "&gt;0"), "")</f>
        <v/>
      </c>
      <c r="Y9" t="s">
        <v>40</v>
      </c>
      <c r="Z9" t="e">
        <f t="shared" si="6"/>
        <v>#VALUE!</v>
      </c>
      <c r="AA9" t="e">
        <f t="shared" si="7"/>
        <v>#VALUE!</v>
      </c>
      <c r="AC9" t="s">
        <v>40</v>
      </c>
      <c r="AD9" t="str">
        <f>IFERROR(AVERAGEIFS($J:$J, $C:$C, AC9, $F:$F, "&lt;0"), "")</f>
        <v/>
      </c>
      <c r="AE9" t="str">
        <f>IFERROR(AVERAGEIFS($P:$P, $C:$C, AC9, $F:$F, "&lt;0"), "")</f>
        <v/>
      </c>
      <c r="AG9" t="e">
        <f t="shared" si="8"/>
        <v>#VALUE!</v>
      </c>
      <c r="AH9" t="e">
        <f t="shared" si="8"/>
        <v>#VALUE!</v>
      </c>
      <c r="AI9" s="16" t="str" cm="1">
        <f t="array" ref="AI9">IFERROR(AVERAGE(_xlfn._xlws.FILTER($I:$I, ($B:$B=Q9)+($C:$C=Q9))), "")</f>
        <v/>
      </c>
      <c r="AJ9" s="16" t="str" cm="1">
        <f t="array" ref="AJ9">IFERROR(AVERAGE(_xlfn._xlws.FILTER($O:$O, ($B:$B=Q9)+($C:$C=Q9))), "")</f>
        <v/>
      </c>
    </row>
    <row r="10" spans="1:36" x14ac:dyDescent="0.25">
      <c r="A10" s="12">
        <v>46133</v>
      </c>
      <c r="B10" t="s">
        <v>36</v>
      </c>
      <c r="C10" t="s">
        <v>38</v>
      </c>
      <c r="D10">
        <v>161</v>
      </c>
      <c r="F10">
        <v>-3.5</v>
      </c>
      <c r="H10" s="6" t="s">
        <v>27</v>
      </c>
      <c r="I10" s="13">
        <f t="shared" si="0"/>
        <v>-161</v>
      </c>
      <c r="J10" s="14">
        <f t="shared" si="1"/>
        <v>3.5</v>
      </c>
      <c r="K10" s="15" cm="1">
        <f t="array" ref="K10">AVERAGE(ABS($I$3:I10))</f>
        <v>163.4375</v>
      </c>
      <c r="L10" s="15" cm="1">
        <f t="array" ref="L10">AVERAGE(ABS($J$3:J10))</f>
        <v>5.6124999999999998</v>
      </c>
      <c r="O10" s="13">
        <f t="shared" si="2"/>
        <v>-161</v>
      </c>
      <c r="P10" s="14">
        <f t="shared" si="3"/>
        <v>3.5</v>
      </c>
      <c r="Q10" t="s">
        <v>36</v>
      </c>
      <c r="R10">
        <f t="shared" si="4"/>
        <v>-3.5</v>
      </c>
      <c r="S10">
        <f t="shared" si="5"/>
        <v>-3.5</v>
      </c>
      <c r="U10" t="s">
        <v>36</v>
      </c>
      <c r="V10" t="str">
        <f>IFERROR(AVERAGEIFS($J:$J, $C:$C, U10, $F:$F, "&gt;0"), "")</f>
        <v/>
      </c>
      <c r="W10" t="str">
        <f>IFERROR(AVERAGEIFS($P:$P, $C:$C, U10, $F:$F, "&gt;0"), "")</f>
        <v/>
      </c>
      <c r="Y10" t="s">
        <v>36</v>
      </c>
      <c r="Z10" t="e">
        <f t="shared" si="6"/>
        <v>#VALUE!</v>
      </c>
      <c r="AA10" t="e">
        <f t="shared" si="7"/>
        <v>#VALUE!</v>
      </c>
      <c r="AC10" t="s">
        <v>36</v>
      </c>
      <c r="AD10">
        <f>IFERROR(AVERAGEIFS($J:$J, $C:$C, AC10, $F:$F, "&lt;0"), "")</f>
        <v>7.5</v>
      </c>
      <c r="AE10">
        <f>IFERROR(AVERAGEIFS($P:$P, $C:$C, AC10, $F:$F, "&lt;0"), "")</f>
        <v>7.5</v>
      </c>
      <c r="AG10" t="e">
        <f t="shared" si="8"/>
        <v>#VALUE!</v>
      </c>
      <c r="AH10" t="e">
        <f t="shared" si="8"/>
        <v>#VALUE!</v>
      </c>
      <c r="AI10" s="16" cm="1">
        <f t="array" ref="AI10">IFERROR(AVERAGE(_xlfn._xlws.FILTER($I:$I, ($B:$B=Q10)+($C:$C=Q10))), "")</f>
        <v>-161.75</v>
      </c>
      <c r="AJ10" s="16" cm="1">
        <f t="array" ref="AJ10">IFERROR(AVERAGE(_xlfn._xlws.FILTER($O:$O, ($B:$B=Q10)+($C:$C=Q10))), "")</f>
        <v>-161.75</v>
      </c>
    </row>
    <row r="11" spans="1:36" x14ac:dyDescent="0.25">
      <c r="A11" s="12">
        <v>46133</v>
      </c>
      <c r="B11" t="s">
        <v>29</v>
      </c>
      <c r="C11" t="s">
        <v>39</v>
      </c>
      <c r="D11">
        <v>160</v>
      </c>
      <c r="F11">
        <v>-4.5</v>
      </c>
      <c r="H11" s="6" t="s">
        <v>27</v>
      </c>
      <c r="I11" s="13">
        <f t="shared" si="0"/>
        <v>-160</v>
      </c>
      <c r="J11" s="14">
        <f t="shared" si="1"/>
        <v>4.5</v>
      </c>
      <c r="K11" s="15" cm="1">
        <f t="array" ref="K11">AVERAGE(ABS($I$3:I11))</f>
        <v>163.05555555555554</v>
      </c>
      <c r="L11" s="15" cm="1">
        <f t="array" ref="L11">AVERAGE(ABS($J$3:J11))</f>
        <v>5.4888888888888889</v>
      </c>
      <c r="O11" s="13">
        <f t="shared" si="2"/>
        <v>-160</v>
      </c>
      <c r="P11" s="14">
        <f t="shared" si="3"/>
        <v>4.5</v>
      </c>
      <c r="Q11" t="s">
        <v>32</v>
      </c>
      <c r="R11">
        <f t="shared" si="4"/>
        <v>-5.5</v>
      </c>
      <c r="S11">
        <f t="shared" si="5"/>
        <v>-5.5</v>
      </c>
      <c r="U11" t="s">
        <v>32</v>
      </c>
      <c r="V11">
        <f>IFERROR(AVERAGEIFS($J:$J, $C:$C, U11, $F:$F, "&gt;0"), "")</f>
        <v>-2.2999999999999998</v>
      </c>
      <c r="W11">
        <f>IFERROR(AVERAGEIFS($P:$P, $C:$C, U11, $F:$F, "&gt;0"), "")</f>
        <v>-2.2999999999999998</v>
      </c>
      <c r="Y11" t="s">
        <v>32</v>
      </c>
      <c r="Z11" t="e">
        <f t="shared" si="6"/>
        <v>#VALUE!</v>
      </c>
      <c r="AA11" t="e">
        <f t="shared" si="7"/>
        <v>#VALUE!</v>
      </c>
      <c r="AC11" t="s">
        <v>32</v>
      </c>
      <c r="AD11" t="str">
        <f>IFERROR(AVERAGEIFS($J:$J, $C:$C, AC11, $F:$F, "&lt;0"), "")</f>
        <v/>
      </c>
      <c r="AE11" t="str">
        <f>IFERROR(AVERAGEIFS($P:$P, $C:$C, AC11, $F:$F, "&lt;0"), "")</f>
        <v/>
      </c>
      <c r="AG11" t="e">
        <f t="shared" si="8"/>
        <v>#VALUE!</v>
      </c>
      <c r="AH11" t="e">
        <f t="shared" si="8"/>
        <v>#VALUE!</v>
      </c>
      <c r="AI11" s="16" cm="1">
        <f t="array" ref="AI11">IFERROR(AVERAGE(_xlfn._xlws.FILTER($I:$I, ($B:$B=Q11)+($C:$C=Q11))), "")</f>
        <v>-160.05000000000001</v>
      </c>
      <c r="AJ11" s="16" cm="1">
        <f t="array" ref="AJ11">IFERROR(AVERAGE(_xlfn._xlws.FILTER($O:$O, ($B:$B=Q11)+($C:$C=Q11))), "")</f>
        <v>-160.05000000000001</v>
      </c>
    </row>
    <row r="12" spans="1:36" x14ac:dyDescent="0.25">
      <c r="A12" s="12">
        <v>46133</v>
      </c>
      <c r="B12" t="s">
        <v>32</v>
      </c>
      <c r="C12" t="s">
        <v>31</v>
      </c>
      <c r="D12">
        <v>157</v>
      </c>
      <c r="F12">
        <v>-5.5</v>
      </c>
      <c r="H12" s="6" t="s">
        <v>27</v>
      </c>
      <c r="I12" s="13">
        <f t="shared" si="0"/>
        <v>-157</v>
      </c>
      <c r="J12" s="14">
        <f t="shared" si="1"/>
        <v>5.5</v>
      </c>
      <c r="K12" s="15" cm="1">
        <f t="array" ref="K12">AVERAGE(ABS($I$3:I12))</f>
        <v>162.44999999999999</v>
      </c>
      <c r="L12" s="15" cm="1">
        <f t="array" ref="L12">AVERAGE(ABS($J$3:J12))</f>
        <v>5.49</v>
      </c>
      <c r="O12" s="13">
        <f t="shared" si="2"/>
        <v>-157</v>
      </c>
      <c r="P12" s="14">
        <f t="shared" si="3"/>
        <v>5.5</v>
      </c>
      <c r="Q12" t="s">
        <v>38</v>
      </c>
      <c r="R12" t="e">
        <f t="shared" si="4"/>
        <v>#VALUE!</v>
      </c>
      <c r="S12" t="e">
        <f t="shared" si="5"/>
        <v>#VALUE!</v>
      </c>
      <c r="U12" t="s">
        <v>38</v>
      </c>
      <c r="V12">
        <f>IFERROR(AVERAGEIFS($J:$J, $C:$C, U12, $F:$F, "&gt;0"), "")</f>
        <v>-3.4</v>
      </c>
      <c r="W12">
        <f>IFERROR(AVERAGEIFS($P:$P, $C:$C, U12, $F:$F, "&gt;0"), "")</f>
        <v>-3.4</v>
      </c>
      <c r="Y12" t="s">
        <v>38</v>
      </c>
      <c r="Z12">
        <f t="shared" si="6"/>
        <v>6.5</v>
      </c>
      <c r="AA12">
        <f t="shared" si="7"/>
        <v>6.5</v>
      </c>
      <c r="AC12" t="s">
        <v>38</v>
      </c>
      <c r="AD12">
        <f>IFERROR(AVERAGEIFS($J:$J, $C:$C, AC12, $F:$F, "&lt;0"), "")</f>
        <v>3.5</v>
      </c>
      <c r="AE12">
        <f>IFERROR(AVERAGEIFS($P:$P, $C:$C, AC12, $F:$F, "&lt;0"), "")</f>
        <v>3.5</v>
      </c>
      <c r="AG12" t="e">
        <f t="shared" si="8"/>
        <v>#VALUE!</v>
      </c>
      <c r="AH12" t="e">
        <f t="shared" si="8"/>
        <v>#VALUE!</v>
      </c>
      <c r="AI12" s="16" cm="1">
        <f t="array" ref="AI12">IFERROR(AVERAGE(_xlfn._xlws.FILTER($I:$I, ($B:$B=Q12)+($C:$C=Q12))), "")</f>
        <v>-162.53333333333333</v>
      </c>
      <c r="AJ12" s="16" cm="1">
        <f t="array" ref="AJ12">IFERROR(AVERAGE(_xlfn._xlws.FILTER($O:$O, ($B:$B=Q12)+($C:$C=Q12))), "")</f>
        <v>-162.53333333333333</v>
      </c>
    </row>
    <row r="13" spans="1:36" x14ac:dyDescent="0.25">
      <c r="A13" s="12">
        <v>46135</v>
      </c>
      <c r="B13" t="s">
        <v>28</v>
      </c>
      <c r="C13" t="s">
        <v>26</v>
      </c>
      <c r="D13">
        <v>164.5</v>
      </c>
      <c r="F13">
        <v>-3</v>
      </c>
      <c r="H13" s="6" t="s">
        <v>27</v>
      </c>
      <c r="I13" s="13">
        <f t="shared" si="0"/>
        <v>-164.5</v>
      </c>
      <c r="J13" s="14">
        <f t="shared" si="1"/>
        <v>3</v>
      </c>
      <c r="K13" s="15" cm="1">
        <f t="array" ref="K13">AVERAGE(ABS($I$3:I13))</f>
        <v>162.63636363636363</v>
      </c>
      <c r="L13" s="15" cm="1">
        <f t="array" ref="L13">AVERAGE(ABS($J$3:J13))</f>
        <v>5.2636363636363637</v>
      </c>
      <c r="O13" s="13">
        <f t="shared" si="2"/>
        <v>-164.5</v>
      </c>
      <c r="P13" s="14">
        <f t="shared" si="3"/>
        <v>3</v>
      </c>
      <c r="Q13" t="s">
        <v>31</v>
      </c>
      <c r="R13">
        <f t="shared" si="4"/>
        <v>-4</v>
      </c>
      <c r="S13">
        <f t="shared" si="5"/>
        <v>-4</v>
      </c>
      <c r="U13" t="s">
        <v>31</v>
      </c>
      <c r="V13" t="str">
        <f>IFERROR(AVERAGEIFS($J:$J, $C:$C, U13, $F:$F, "&gt;0"), "")</f>
        <v/>
      </c>
      <c r="W13" t="str">
        <f>IFERROR(AVERAGEIFS($P:$P, $C:$C, U13, $F:$F, "&gt;0"), "")</f>
        <v/>
      </c>
      <c r="Y13" t="s">
        <v>31</v>
      </c>
      <c r="Z13">
        <f t="shared" si="6"/>
        <v>2.2999999999999998</v>
      </c>
      <c r="AA13">
        <f t="shared" si="7"/>
        <v>2.2999999999999998</v>
      </c>
      <c r="AC13" t="s">
        <v>31</v>
      </c>
      <c r="AD13">
        <f>IFERROR(AVERAGEIFS($J:$J, $C:$C, AC13, $F:$F, "&lt;0"), "")</f>
        <v>5.5</v>
      </c>
      <c r="AE13">
        <f>IFERROR(AVERAGEIFS($P:$P, $C:$C, AC13, $F:$F, "&lt;0"), "")</f>
        <v>5.5</v>
      </c>
      <c r="AG13">
        <f t="shared" si="8"/>
        <v>1.2666666666666666</v>
      </c>
      <c r="AH13">
        <f t="shared" si="8"/>
        <v>1.2666666666666666</v>
      </c>
      <c r="AI13" s="16" cm="1">
        <f t="array" ref="AI13">IFERROR(AVERAGE(_xlfn._xlws.FILTER($I:$I, ($B:$B=Q13)+($C:$C=Q13))), "")</f>
        <v>-161.36666666666667</v>
      </c>
      <c r="AJ13" s="16" cm="1">
        <f t="array" ref="AJ13">IFERROR(AVERAGE(_xlfn._xlws.FILTER($O:$O, ($B:$B=Q13)+($C:$C=Q13))), "")</f>
        <v>-161.36666666666667</v>
      </c>
    </row>
    <row r="14" spans="1:36" x14ac:dyDescent="0.25">
      <c r="A14" s="12">
        <v>46135</v>
      </c>
      <c r="B14" t="s">
        <v>38</v>
      </c>
      <c r="C14" t="s">
        <v>30</v>
      </c>
      <c r="D14">
        <v>160</v>
      </c>
      <c r="F14">
        <v>6.5</v>
      </c>
      <c r="H14" s="6" t="s">
        <v>27</v>
      </c>
      <c r="I14" s="13">
        <f t="shared" si="0"/>
        <v>-160</v>
      </c>
      <c r="J14" s="14">
        <f t="shared" si="1"/>
        <v>-6.5</v>
      </c>
      <c r="K14" s="15" cm="1">
        <f t="array" ref="K14">AVERAGE(ABS($I$3:I14))</f>
        <v>162.41666666666666</v>
      </c>
      <c r="L14" s="15" cm="1">
        <f t="array" ref="L14">AVERAGE(ABS($J$3:J14))</f>
        <v>5.3666666666666671</v>
      </c>
      <c r="O14" s="13">
        <f t="shared" si="2"/>
        <v>-160</v>
      </c>
      <c r="P14" s="14">
        <f t="shared" si="3"/>
        <v>-6.5</v>
      </c>
      <c r="Q14" t="s">
        <v>29</v>
      </c>
      <c r="R14">
        <f t="shared" si="4"/>
        <v>-4.5</v>
      </c>
      <c r="S14">
        <f t="shared" si="5"/>
        <v>-4.5</v>
      </c>
      <c r="U14" t="s">
        <v>29</v>
      </c>
      <c r="V14" t="str">
        <f>IFERROR(AVERAGEIFS($J:$J, $C:$C, U14, $F:$F, "&gt;0"), "")</f>
        <v/>
      </c>
      <c r="W14" t="str">
        <f>IFERROR(AVERAGEIFS($P:$P, $C:$C, U14, $F:$F, "&gt;0"), "")</f>
        <v/>
      </c>
      <c r="Y14" t="s">
        <v>29</v>
      </c>
      <c r="Z14" t="e">
        <f t="shared" si="6"/>
        <v>#VALUE!</v>
      </c>
      <c r="AA14" t="e">
        <f t="shared" si="7"/>
        <v>#VALUE!</v>
      </c>
      <c r="AC14" t="s">
        <v>29</v>
      </c>
      <c r="AD14">
        <f>IFERROR(AVERAGEIFS($J:$J, $C:$C, AC14, $F:$F, "&lt;0"), "")</f>
        <v>0.4</v>
      </c>
      <c r="AE14">
        <f>IFERROR(AVERAGEIFS($P:$P, $C:$C, AC14, $F:$F, "&lt;0"), "")</f>
        <v>0.4</v>
      </c>
      <c r="AG14" t="e">
        <f t="shared" si="8"/>
        <v>#VALUE!</v>
      </c>
      <c r="AH14" t="e">
        <f t="shared" si="8"/>
        <v>#VALUE!</v>
      </c>
      <c r="AI14" s="16" cm="1">
        <f t="array" ref="AI14">IFERROR(AVERAGE(_xlfn._xlws.FILTER($I:$I, ($B:$B=Q14)+($C:$C=Q14))), "")</f>
        <v>-161.75</v>
      </c>
      <c r="AJ14" s="16" cm="1">
        <f t="array" ref="AJ14">IFERROR(AVERAGE(_xlfn._xlws.FILTER($O:$O, ($B:$B=Q14)+($C:$C=Q14))), "")</f>
        <v>-161.75</v>
      </c>
    </row>
    <row r="15" spans="1:36" x14ac:dyDescent="0.25">
      <c r="A15" s="12">
        <v>46135</v>
      </c>
      <c r="B15" t="s">
        <v>31</v>
      </c>
      <c r="C15" t="s">
        <v>37</v>
      </c>
      <c r="D15">
        <v>164</v>
      </c>
      <c r="F15">
        <v>-4</v>
      </c>
      <c r="H15" s="6" t="s">
        <v>27</v>
      </c>
      <c r="I15" s="13">
        <f t="shared" si="0"/>
        <v>-164</v>
      </c>
      <c r="J15" s="14">
        <f t="shared" si="1"/>
        <v>4</v>
      </c>
      <c r="K15" s="15" cm="1">
        <f t="array" ref="K15">AVERAGE(ABS($I$3:I15))</f>
        <v>162.53846153846155</v>
      </c>
      <c r="L15" s="15" cm="1">
        <f t="array" ref="L15">AVERAGE(ABS($J$3:J15))</f>
        <v>5.2615384615384624</v>
      </c>
      <c r="O15" s="13">
        <f t="shared" si="2"/>
        <v>-164</v>
      </c>
      <c r="P15" s="14">
        <f t="shared" si="3"/>
        <v>4</v>
      </c>
      <c r="Q15" t="s">
        <v>28</v>
      </c>
      <c r="R15">
        <f t="shared" si="4"/>
        <v>-1.7</v>
      </c>
      <c r="S15">
        <f t="shared" si="5"/>
        <v>-1.7</v>
      </c>
      <c r="U15" t="s">
        <v>28</v>
      </c>
      <c r="V15" t="str">
        <f>IFERROR(AVERAGEIFS($J:$J, $C:$C, U15, $F:$F, "&gt;0"), "")</f>
        <v/>
      </c>
      <c r="W15" t="str">
        <f>IFERROR(AVERAGEIFS($P:$P, $C:$C, U15, $F:$F, "&gt;0"), "")</f>
        <v/>
      </c>
      <c r="Y15" t="s">
        <v>28</v>
      </c>
      <c r="Z15" t="e">
        <f t="shared" si="6"/>
        <v>#VALUE!</v>
      </c>
      <c r="AA15" t="e">
        <f t="shared" si="7"/>
        <v>#VALUE!</v>
      </c>
      <c r="AC15" t="s">
        <v>28</v>
      </c>
      <c r="AD15" t="str">
        <f>IFERROR(AVERAGEIFS($J:$J, $C:$C, AC15, $F:$F, "&lt;0"), "")</f>
        <v/>
      </c>
      <c r="AE15" t="str">
        <f>IFERROR(AVERAGEIFS($P:$P, $C:$C, AC15, $F:$F, "&lt;0"), "")</f>
        <v/>
      </c>
      <c r="AG15" t="e">
        <f t="shared" si="8"/>
        <v>#VALUE!</v>
      </c>
      <c r="AH15" t="e">
        <f t="shared" si="8"/>
        <v>#VALUE!</v>
      </c>
      <c r="AI15" s="16" cm="1">
        <f t="array" ref="AI15">IFERROR(AVERAGE(_xlfn._xlws.FILTER($I:$I, ($B:$B=Q15)+($C:$C=Q15))), "")</f>
        <v>-164</v>
      </c>
      <c r="AJ15" s="16" cm="1">
        <f t="array" ref="AJ15">IFERROR(AVERAGE(_xlfn._xlws.FILTER($O:$O, ($B:$B=Q15)+($C:$C=Q15))), "")</f>
        <v>-164</v>
      </c>
    </row>
    <row r="16" spans="1:36" x14ac:dyDescent="0.25">
      <c r="H16" s="6" t="s">
        <v>27</v>
      </c>
      <c r="I16" s="13">
        <f t="shared" si="0"/>
        <v>0</v>
      </c>
      <c r="J16" s="14">
        <f t="shared" si="1"/>
        <v>0</v>
      </c>
      <c r="K16" s="15" cm="1">
        <f t="array" ref="K16">AVERAGE(ABS($I$3:I16))</f>
        <v>150.92857142857142</v>
      </c>
      <c r="L16" s="15" cm="1">
        <f t="array" ref="L16">AVERAGE(ABS($J$3:J16))</f>
        <v>4.8857142857142861</v>
      </c>
      <c r="O16" s="13">
        <f t="shared" si="2"/>
        <v>0</v>
      </c>
      <c r="P16" s="14">
        <f t="shared" si="3"/>
        <v>0</v>
      </c>
      <c r="Q16" t="s">
        <v>37</v>
      </c>
      <c r="R16" t="e">
        <f t="shared" si="4"/>
        <v>#VALUE!</v>
      </c>
      <c r="S16" t="e">
        <f t="shared" si="5"/>
        <v>#VALUE!</v>
      </c>
      <c r="U16" t="s">
        <v>37</v>
      </c>
      <c r="V16" t="str">
        <f>IFERROR(AVERAGEIFS($J:$J, $C:$C, U16, $F:$F, "&gt;0"), "")</f>
        <v/>
      </c>
      <c r="W16" t="str">
        <f>IFERROR(AVERAGEIFS($P:$P, $C:$C, U16, $F:$F, "&gt;0"), "")</f>
        <v/>
      </c>
      <c r="Y16" t="s">
        <v>37</v>
      </c>
      <c r="Z16">
        <f t="shared" si="6"/>
        <v>3.4</v>
      </c>
      <c r="AA16">
        <f t="shared" si="7"/>
        <v>3.4</v>
      </c>
      <c r="AC16" t="s">
        <v>37</v>
      </c>
      <c r="AD16">
        <f>IFERROR(AVERAGEIFS($J:$J, $C:$C, AC16, $F:$F, "&lt;0"), "")</f>
        <v>4</v>
      </c>
      <c r="AE16">
        <f>IFERROR(AVERAGEIFS($P:$P, $C:$C, AC16, $F:$F, "&lt;0"), "")</f>
        <v>4</v>
      </c>
      <c r="AG16" t="e">
        <f t="shared" si="8"/>
        <v>#VALUE!</v>
      </c>
      <c r="AH16" t="e">
        <f t="shared" si="8"/>
        <v>#VALUE!</v>
      </c>
      <c r="AI16" s="16" cm="1">
        <f t="array" ref="AI16">IFERROR(AVERAGE(_xlfn._xlws.FILTER($I:$I, ($B:$B=Q16)+($C:$C=Q16))), "")</f>
        <v>-165.3</v>
      </c>
      <c r="AJ16" s="16" cm="1">
        <f t="array" ref="AJ16">IFERROR(AVERAGE(_xlfn._xlws.FILTER($O:$O, ($B:$B=Q16)+($C:$C=Q16))), "")</f>
        <v>-165.3</v>
      </c>
    </row>
    <row r="17" spans="8:36" x14ac:dyDescent="0.25">
      <c r="H17" s="6" t="s">
        <v>27</v>
      </c>
      <c r="I17" s="13">
        <f t="shared" si="0"/>
        <v>0</v>
      </c>
      <c r="J17" s="14">
        <f t="shared" si="1"/>
        <v>0</v>
      </c>
      <c r="K17" s="15" cm="1">
        <f t="array" ref="K17">AVERAGE(ABS($I$3:I17))</f>
        <v>140.86666666666667</v>
      </c>
      <c r="L17" s="15" cm="1">
        <f t="array" ref="L17">AVERAGE(ABS($J$3:J17))</f>
        <v>4.5600000000000005</v>
      </c>
      <c r="O17" s="13">
        <f t="shared" si="2"/>
        <v>0</v>
      </c>
      <c r="P17" s="14">
        <f t="shared" si="3"/>
        <v>0</v>
      </c>
      <c r="Q17" t="s">
        <v>26</v>
      </c>
      <c r="R17" t="e">
        <f t="shared" si="4"/>
        <v>#VALUE!</v>
      </c>
      <c r="S17" t="e">
        <f t="shared" si="5"/>
        <v>#VALUE!</v>
      </c>
      <c r="U17" t="s">
        <v>26</v>
      </c>
      <c r="V17" t="str">
        <f>IFERROR(AVERAGEIFS($J:$J, $C:$C, U17, $F:$F, "&gt;0"), "")</f>
        <v/>
      </c>
      <c r="W17" t="str">
        <f>IFERROR(AVERAGEIFS($P:$P, $C:$C, U17, $F:$F, "&gt;0"), "")</f>
        <v/>
      </c>
      <c r="Y17" t="s">
        <v>26</v>
      </c>
      <c r="Z17" t="e">
        <f t="shared" si="6"/>
        <v>#VALUE!</v>
      </c>
      <c r="AA17" t="e">
        <f t="shared" si="7"/>
        <v>#VALUE!</v>
      </c>
      <c r="AC17" t="s">
        <v>26</v>
      </c>
      <c r="AD17">
        <f>IFERROR(AVERAGEIFS($J:$J, $C:$C, AC17, $F:$F, "&lt;0"), "")</f>
        <v>10.1</v>
      </c>
      <c r="AE17">
        <f>IFERROR(AVERAGEIFS($P:$P, $C:$C, AC17, $F:$F, "&lt;0"), "")</f>
        <v>10.1</v>
      </c>
      <c r="AG17" t="e">
        <f t="shared" si="8"/>
        <v>#VALUE!</v>
      </c>
      <c r="AH17" t="e">
        <f t="shared" si="8"/>
        <v>#VALUE!</v>
      </c>
      <c r="AI17" s="16" cm="1">
        <f t="array" ref="AI17">IFERROR(AVERAGE(_xlfn._xlws.FILTER($I:$I, ($B:$B=Q17)+($C:$C=Q17))), "")</f>
        <v>-164</v>
      </c>
      <c r="AJ17" s="16" cm="1">
        <f t="array" ref="AJ17">IFERROR(AVERAGE(_xlfn._xlws.FILTER($O:$O, ($B:$B=Q17)+($C:$C=Q17))), "")</f>
        <v>-164</v>
      </c>
    </row>
    <row r="18" spans="8:36" x14ac:dyDescent="0.25">
      <c r="H18" s="6" t="s">
        <v>27</v>
      </c>
      <c r="I18" s="13">
        <f t="shared" si="0"/>
        <v>0</v>
      </c>
      <c r="J18" s="14">
        <f t="shared" si="1"/>
        <v>0</v>
      </c>
      <c r="K18" s="15" cm="1">
        <f t="array" ref="K18">AVERAGE(ABS($I$3:I18))</f>
        <v>132.0625</v>
      </c>
      <c r="L18" s="15" cm="1">
        <f t="array" ref="L18">AVERAGE(ABS($J$3:J18))</f>
        <v>4.2750000000000004</v>
      </c>
      <c r="O18" s="13">
        <f t="shared" si="2"/>
        <v>0</v>
      </c>
      <c r="P18" s="14">
        <f t="shared" si="3"/>
        <v>0</v>
      </c>
    </row>
    <row r="19" spans="8:36" x14ac:dyDescent="0.25">
      <c r="H19" s="6" t="s">
        <v>27</v>
      </c>
      <c r="I19" s="13">
        <f t="shared" si="0"/>
        <v>0</v>
      </c>
      <c r="J19" s="14">
        <f t="shared" si="1"/>
        <v>0</v>
      </c>
      <c r="K19" s="15" cm="1">
        <f t="array" ref="K19">AVERAGE(ABS($I$3:I19))</f>
        <v>124.29411764705883</v>
      </c>
      <c r="L19" s="15" cm="1">
        <f t="array" ref="L19">AVERAGE(ABS($J$3:J19))</f>
        <v>4.0235294117647058</v>
      </c>
      <c r="O19" s="13">
        <f t="shared" si="2"/>
        <v>0</v>
      </c>
      <c r="P19" s="14">
        <f t="shared" si="3"/>
        <v>0</v>
      </c>
    </row>
    <row r="20" spans="8:36" x14ac:dyDescent="0.25">
      <c r="H20" s="6" t="s">
        <v>27</v>
      </c>
      <c r="I20" s="13">
        <f t="shared" si="0"/>
        <v>0</v>
      </c>
      <c r="J20" s="14">
        <f t="shared" si="1"/>
        <v>0</v>
      </c>
      <c r="K20" s="15" cm="1">
        <f t="array" ref="K20">AVERAGE(ABS($I$3:I20))</f>
        <v>117.38888888888889</v>
      </c>
      <c r="L20" s="15" cm="1">
        <f t="array" ref="L20">AVERAGE(ABS($J$3:J20))</f>
        <v>3.8000000000000003</v>
      </c>
      <c r="O20" s="13">
        <f t="shared" si="2"/>
        <v>0</v>
      </c>
      <c r="P20" s="14">
        <f t="shared" si="3"/>
        <v>0</v>
      </c>
    </row>
    <row r="21" spans="8:36" x14ac:dyDescent="0.25">
      <c r="H21" s="6" t="s">
        <v>27</v>
      </c>
      <c r="I21" s="13">
        <f t="shared" si="0"/>
        <v>0</v>
      </c>
      <c r="J21" s="14">
        <f t="shared" si="1"/>
        <v>0</v>
      </c>
      <c r="K21" s="15" cm="1">
        <f t="array" ref="K21">AVERAGE(ABS($I$3:I21))</f>
        <v>111.21052631578948</v>
      </c>
      <c r="L21" s="15" cm="1">
        <f t="array" ref="L21">AVERAGE(ABS($J$3:J21))</f>
        <v>3.6</v>
      </c>
      <c r="O21" s="13">
        <f t="shared" si="2"/>
        <v>0</v>
      </c>
      <c r="P21" s="14">
        <f t="shared" si="3"/>
        <v>0</v>
      </c>
    </row>
    <row r="22" spans="8:36" x14ac:dyDescent="0.25">
      <c r="H22" s="6" t="s">
        <v>27</v>
      </c>
      <c r="I22" s="13">
        <f t="shared" si="0"/>
        <v>0</v>
      </c>
      <c r="J22" s="14">
        <f t="shared" si="1"/>
        <v>0</v>
      </c>
      <c r="K22" s="15" cm="1">
        <f t="array" ref="K22">AVERAGE(ABS($I$3:I22))</f>
        <v>105.65</v>
      </c>
      <c r="L22" s="15" cm="1">
        <f t="array" ref="L22">AVERAGE(ABS($J$3:J22))</f>
        <v>3.4200000000000004</v>
      </c>
      <c r="O22" s="13">
        <f t="shared" si="2"/>
        <v>0</v>
      </c>
      <c r="P22" s="14">
        <f t="shared" si="3"/>
        <v>0</v>
      </c>
    </row>
    <row r="23" spans="8:36" x14ac:dyDescent="0.25">
      <c r="H23" s="6" t="s">
        <v>27</v>
      </c>
      <c r="I23" s="13">
        <f t="shared" si="0"/>
        <v>0</v>
      </c>
      <c r="J23" s="14">
        <f t="shared" si="1"/>
        <v>0</v>
      </c>
      <c r="K23" s="15" cm="1">
        <f t="array" ref="K23">AVERAGE(ABS($I$3:I23))</f>
        <v>100.61904761904762</v>
      </c>
      <c r="L23" s="15" cm="1">
        <f t="array" ref="L23">AVERAGE(ABS($J$3:J23))</f>
        <v>3.2571428571428576</v>
      </c>
      <c r="O23" s="13">
        <f t="shared" si="2"/>
        <v>0</v>
      </c>
      <c r="P23" s="14">
        <f t="shared" si="3"/>
        <v>0</v>
      </c>
    </row>
    <row r="24" spans="8:36" x14ac:dyDescent="0.25">
      <c r="H24" s="6" t="s">
        <v>27</v>
      </c>
      <c r="I24" s="13">
        <f t="shared" si="0"/>
        <v>0</v>
      </c>
      <c r="J24" s="14">
        <f t="shared" si="1"/>
        <v>0</v>
      </c>
      <c r="K24" s="15" cm="1">
        <f t="array" ref="K24">AVERAGE(ABS($I$3:I24))</f>
        <v>96.045454545454547</v>
      </c>
      <c r="L24" s="15" cm="1">
        <f t="array" ref="L24">AVERAGE(ABS($J$3:J24))</f>
        <v>3.1090909090909093</v>
      </c>
      <c r="O24" s="13">
        <f t="shared" si="2"/>
        <v>0</v>
      </c>
      <c r="P24" s="14">
        <f t="shared" si="3"/>
        <v>0</v>
      </c>
    </row>
    <row r="25" spans="8:36" x14ac:dyDescent="0.25">
      <c r="H25" s="6" t="s">
        <v>27</v>
      </c>
      <c r="I25" s="13">
        <f t="shared" si="0"/>
        <v>0</v>
      </c>
      <c r="J25" s="14">
        <f t="shared" si="1"/>
        <v>0</v>
      </c>
      <c r="K25" s="15" cm="1">
        <f t="array" ref="K25">AVERAGE(ABS($I$3:I25))</f>
        <v>91.869565217391298</v>
      </c>
      <c r="L25" s="15" cm="1">
        <f t="array" ref="L25">AVERAGE(ABS($J$3:J25))</f>
        <v>2.973913043478261</v>
      </c>
      <c r="O25" s="13">
        <f t="shared" si="2"/>
        <v>0</v>
      </c>
      <c r="P25" s="14">
        <f t="shared" si="3"/>
        <v>0</v>
      </c>
    </row>
    <row r="26" spans="8:36" x14ac:dyDescent="0.25">
      <c r="H26" s="6" t="s">
        <v>27</v>
      </c>
      <c r="I26" s="13">
        <f t="shared" si="0"/>
        <v>0</v>
      </c>
      <c r="J26" s="14">
        <f t="shared" si="1"/>
        <v>0</v>
      </c>
      <c r="K26" s="15" cm="1">
        <f t="array" ref="K26">AVERAGE(ABS($I$3:I26))</f>
        <v>88.041666666666671</v>
      </c>
      <c r="L26" s="15" cm="1">
        <f t="array" ref="L26">AVERAGE(ABS($J$3:J26))</f>
        <v>2.85</v>
      </c>
      <c r="O26" s="13">
        <f t="shared" si="2"/>
        <v>0</v>
      </c>
      <c r="P26" s="14">
        <f t="shared" si="3"/>
        <v>0</v>
      </c>
    </row>
    <row r="27" spans="8:36" x14ac:dyDescent="0.25">
      <c r="H27" s="6" t="s">
        <v>27</v>
      </c>
      <c r="I27" s="13">
        <f t="shared" si="0"/>
        <v>0</v>
      </c>
      <c r="J27" s="14">
        <f t="shared" si="1"/>
        <v>0</v>
      </c>
      <c r="K27" s="15" cm="1">
        <f t="array" ref="K27">AVERAGE(ABS($I$3:I27))</f>
        <v>84.52</v>
      </c>
      <c r="L27" s="15" cm="1">
        <f t="array" ref="L27">AVERAGE(ABS($J$3:J27))</f>
        <v>2.7360000000000002</v>
      </c>
      <c r="O27" s="13">
        <f t="shared" si="2"/>
        <v>0</v>
      </c>
      <c r="P27" s="14">
        <f t="shared" si="3"/>
        <v>0</v>
      </c>
    </row>
    <row r="28" spans="8:36" x14ac:dyDescent="0.25">
      <c r="H28" s="6" t="s">
        <v>27</v>
      </c>
      <c r="I28" s="13">
        <f t="shared" si="0"/>
        <v>0</v>
      </c>
      <c r="J28" s="14">
        <f t="shared" si="1"/>
        <v>0</v>
      </c>
      <c r="K28" s="15" cm="1">
        <f t="array" ref="K28">AVERAGE(ABS($I$3:I28))</f>
        <v>81.269230769230774</v>
      </c>
      <c r="L28" s="15" cm="1">
        <f t="array" ref="L28">AVERAGE(ABS($J$3:J28))</f>
        <v>2.6307692307692312</v>
      </c>
      <c r="O28" s="13">
        <f t="shared" si="2"/>
        <v>0</v>
      </c>
      <c r="P28" s="14">
        <f t="shared" si="3"/>
        <v>0</v>
      </c>
    </row>
    <row r="29" spans="8:36" x14ac:dyDescent="0.25">
      <c r="H29" s="6" t="s">
        <v>27</v>
      </c>
      <c r="I29" s="13">
        <f t="shared" si="0"/>
        <v>0</v>
      </c>
      <c r="J29" s="14">
        <f t="shared" si="1"/>
        <v>0</v>
      </c>
      <c r="K29" s="15" cm="1">
        <f t="array" ref="K29">AVERAGE(ABS($I$3:I29))</f>
        <v>78.259259259259252</v>
      </c>
      <c r="L29" s="15" cm="1">
        <f t="array" ref="L29">AVERAGE(ABS($J$3:J29))</f>
        <v>2.5333333333333337</v>
      </c>
      <c r="O29" s="13">
        <f t="shared" si="2"/>
        <v>0</v>
      </c>
      <c r="P29" s="14">
        <f t="shared" si="3"/>
        <v>0</v>
      </c>
    </row>
    <row r="30" spans="8:36" x14ac:dyDescent="0.25">
      <c r="H30" s="6" t="s">
        <v>27</v>
      </c>
      <c r="I30" s="13">
        <f t="shared" si="0"/>
        <v>0</v>
      </c>
      <c r="J30" s="14">
        <f t="shared" si="1"/>
        <v>0</v>
      </c>
      <c r="K30" s="15" cm="1">
        <f t="array" ref="K30">AVERAGE(ABS($I$3:I30))</f>
        <v>75.464285714285708</v>
      </c>
      <c r="L30" s="15" cm="1">
        <f t="array" ref="L30">AVERAGE(ABS($J$3:J30))</f>
        <v>2.4428571428571431</v>
      </c>
      <c r="O30" s="13">
        <f t="shared" si="2"/>
        <v>0</v>
      </c>
      <c r="P30" s="14">
        <f t="shared" si="3"/>
        <v>0</v>
      </c>
    </row>
    <row r="31" spans="8:36" x14ac:dyDescent="0.25">
      <c r="H31" s="6" t="s">
        <v>27</v>
      </c>
      <c r="I31" s="13">
        <f t="shared" si="0"/>
        <v>0</v>
      </c>
      <c r="J31" s="14">
        <f t="shared" si="1"/>
        <v>0</v>
      </c>
      <c r="K31" s="15" cm="1">
        <f t="array" ref="K31">AVERAGE(ABS($I$3:I31))</f>
        <v>72.862068965517238</v>
      </c>
      <c r="L31" s="15" cm="1">
        <f t="array" ref="L31">AVERAGE(ABS($J$3:J31))</f>
        <v>2.3586206896551727</v>
      </c>
      <c r="O31" s="13">
        <f t="shared" si="2"/>
        <v>0</v>
      </c>
      <c r="P31" s="14">
        <f t="shared" si="3"/>
        <v>0</v>
      </c>
    </row>
    <row r="32" spans="8:36" x14ac:dyDescent="0.25">
      <c r="H32" s="6" t="s">
        <v>27</v>
      </c>
      <c r="I32" s="13">
        <f t="shared" si="0"/>
        <v>0</v>
      </c>
      <c r="J32" s="14">
        <f t="shared" si="1"/>
        <v>0</v>
      </c>
      <c r="K32" s="15" cm="1">
        <f t="array" ref="K32">AVERAGE(ABS($I$3:I32))</f>
        <v>70.433333333333337</v>
      </c>
      <c r="L32" s="15" cm="1">
        <f t="array" ref="L32">AVERAGE(ABS($J$3:J32))</f>
        <v>2.2800000000000002</v>
      </c>
      <c r="O32" s="13">
        <f t="shared" si="2"/>
        <v>0</v>
      </c>
      <c r="P32" s="14">
        <f t="shared" si="3"/>
        <v>0</v>
      </c>
    </row>
    <row r="33" spans="8:16" x14ac:dyDescent="0.25">
      <c r="H33" s="6" t="s">
        <v>27</v>
      </c>
      <c r="I33" s="13">
        <f t="shared" si="0"/>
        <v>0</v>
      </c>
      <c r="J33" s="14">
        <f t="shared" si="1"/>
        <v>0</v>
      </c>
      <c r="K33" s="15" cm="1">
        <f t="array" ref="K33">AVERAGE(ABS($I$3:I33))</f>
        <v>68.161290322580641</v>
      </c>
      <c r="L33" s="15" cm="1">
        <f t="array" ref="L33">AVERAGE(ABS($J$3:J33))</f>
        <v>2.2064516129032259</v>
      </c>
      <c r="O33" s="13">
        <f t="shared" si="2"/>
        <v>0</v>
      </c>
      <c r="P33" s="14">
        <f t="shared" si="3"/>
        <v>0</v>
      </c>
    </row>
    <row r="34" spans="8:16" x14ac:dyDescent="0.25">
      <c r="H34" s="6" t="s">
        <v>27</v>
      </c>
      <c r="I34" s="13">
        <f t="shared" si="0"/>
        <v>0</v>
      </c>
      <c r="J34" s="14">
        <f t="shared" si="1"/>
        <v>0</v>
      </c>
      <c r="K34" s="15" cm="1">
        <f t="array" ref="K34">AVERAGE(ABS($I$3:I34))</f>
        <v>66.03125</v>
      </c>
      <c r="L34" s="15" cm="1">
        <f t="array" ref="L34">AVERAGE(ABS($J$3:J34))</f>
        <v>2.1375000000000002</v>
      </c>
      <c r="O34" s="13">
        <f t="shared" si="2"/>
        <v>0</v>
      </c>
      <c r="P34" s="14">
        <f t="shared" si="3"/>
        <v>0</v>
      </c>
    </row>
    <row r="35" spans="8:16" x14ac:dyDescent="0.25">
      <c r="H35" s="6" t="s">
        <v>27</v>
      </c>
      <c r="I35" s="13">
        <f t="shared" si="0"/>
        <v>0</v>
      </c>
      <c r="J35" s="14">
        <f t="shared" si="1"/>
        <v>0</v>
      </c>
      <c r="K35" s="15" cm="1">
        <f t="array" ref="K35">AVERAGE(ABS($I$3:I35))</f>
        <v>64.030303030303031</v>
      </c>
      <c r="L35" s="15" cm="1">
        <f t="array" ref="L35">AVERAGE(ABS($J$3:J35))</f>
        <v>2.0727272727272728</v>
      </c>
      <c r="O35" s="13">
        <f t="shared" si="2"/>
        <v>0</v>
      </c>
      <c r="P35" s="14">
        <f t="shared" si="3"/>
        <v>0</v>
      </c>
    </row>
    <row r="36" spans="8:16" x14ac:dyDescent="0.25">
      <c r="H36" s="6" t="s">
        <v>27</v>
      </c>
      <c r="I36" s="13">
        <f t="shared" si="0"/>
        <v>0</v>
      </c>
      <c r="J36" s="14">
        <f t="shared" si="1"/>
        <v>0</v>
      </c>
      <c r="K36" s="15" cm="1">
        <f t="array" ref="K36">AVERAGE(ABS($I$3:I36))</f>
        <v>62.147058823529413</v>
      </c>
      <c r="L36" s="15" cm="1">
        <f t="array" ref="L36">AVERAGE(ABS($J$3:J36))</f>
        <v>2.0117647058823529</v>
      </c>
      <c r="O36" s="13">
        <f t="shared" si="2"/>
        <v>0</v>
      </c>
      <c r="P36" s="14">
        <f t="shared" si="3"/>
        <v>0</v>
      </c>
    </row>
    <row r="37" spans="8:16" x14ac:dyDescent="0.25">
      <c r="H37" s="6" t="s">
        <v>27</v>
      </c>
      <c r="I37" s="13">
        <f t="shared" si="0"/>
        <v>0</v>
      </c>
      <c r="J37" s="14">
        <f t="shared" si="1"/>
        <v>0</v>
      </c>
      <c r="K37" s="15" cm="1">
        <f t="array" ref="K37">AVERAGE(ABS($I$3:I37))</f>
        <v>60.371428571428574</v>
      </c>
      <c r="L37" s="15" cm="1">
        <f t="array" ref="L37">AVERAGE(ABS($J$3:J37))</f>
        <v>1.9542857142857144</v>
      </c>
      <c r="O37" s="13">
        <f t="shared" si="2"/>
        <v>0</v>
      </c>
      <c r="P37" s="14">
        <f t="shared" si="3"/>
        <v>0</v>
      </c>
    </row>
    <row r="38" spans="8:16" x14ac:dyDescent="0.25">
      <c r="H38" s="6" t="s">
        <v>27</v>
      </c>
      <c r="I38" s="13">
        <f t="shared" si="0"/>
        <v>0</v>
      </c>
      <c r="J38" s="14">
        <f t="shared" si="1"/>
        <v>0</v>
      </c>
      <c r="K38" s="15" cm="1">
        <f t="array" ref="K38">AVERAGE(ABS($I$3:I38))</f>
        <v>58.694444444444443</v>
      </c>
      <c r="L38" s="15" cm="1">
        <f t="array" ref="L38">AVERAGE(ABS($J$3:J38))</f>
        <v>1.9000000000000001</v>
      </c>
      <c r="O38" s="13">
        <f t="shared" si="2"/>
        <v>0</v>
      </c>
      <c r="P38" s="14">
        <f t="shared" si="3"/>
        <v>0</v>
      </c>
    </row>
    <row r="39" spans="8:16" x14ac:dyDescent="0.25">
      <c r="H39" s="6" t="s">
        <v>27</v>
      </c>
      <c r="I39" s="13">
        <f t="shared" si="0"/>
        <v>0</v>
      </c>
      <c r="J39" s="14">
        <f t="shared" si="1"/>
        <v>0</v>
      </c>
      <c r="K39" s="15" cm="1">
        <f t="array" ref="K39">AVERAGE(ABS($I$3:I39))</f>
        <v>57.108108108108105</v>
      </c>
      <c r="L39" s="15" cm="1">
        <f t="array" ref="L39">AVERAGE(ABS($J$3:J39))</f>
        <v>1.8486486486486489</v>
      </c>
      <c r="O39" s="13">
        <f t="shared" si="2"/>
        <v>0</v>
      </c>
      <c r="P39" s="14">
        <f t="shared" si="3"/>
        <v>0</v>
      </c>
    </row>
    <row r="40" spans="8:16" x14ac:dyDescent="0.25">
      <c r="H40" s="6" t="s">
        <v>27</v>
      </c>
      <c r="I40" s="13">
        <f t="shared" si="0"/>
        <v>0</v>
      </c>
      <c r="J40" s="14">
        <f t="shared" si="1"/>
        <v>0</v>
      </c>
      <c r="K40" s="15" cm="1">
        <f t="array" ref="K40">AVERAGE(ABS($I$3:I40))</f>
        <v>55.60526315789474</v>
      </c>
      <c r="L40" s="15" cm="1">
        <f t="array" ref="L40">AVERAGE(ABS($J$3:J40))</f>
        <v>1.8</v>
      </c>
      <c r="O40" s="13">
        <f t="shared" si="2"/>
        <v>0</v>
      </c>
      <c r="P40" s="14">
        <f t="shared" si="3"/>
        <v>0</v>
      </c>
    </row>
    <row r="41" spans="8:16" x14ac:dyDescent="0.25">
      <c r="H41" s="6" t="s">
        <v>27</v>
      </c>
      <c r="I41" s="13">
        <f t="shared" si="0"/>
        <v>0</v>
      </c>
      <c r="J41" s="14">
        <f t="shared" si="1"/>
        <v>0</v>
      </c>
      <c r="K41" s="15" cm="1">
        <f t="array" ref="K41">AVERAGE(ABS($I$3:I41))</f>
        <v>54.179487179487182</v>
      </c>
      <c r="L41" s="15" cm="1">
        <f t="array" ref="L41">AVERAGE(ABS($J$3:J41))</f>
        <v>1.7538461538461541</v>
      </c>
      <c r="O41" s="13">
        <f t="shared" si="2"/>
        <v>0</v>
      </c>
      <c r="P41" s="14">
        <f t="shared" si="3"/>
        <v>0</v>
      </c>
    </row>
    <row r="42" spans="8:16" x14ac:dyDescent="0.25">
      <c r="H42" s="6" t="s">
        <v>27</v>
      </c>
      <c r="I42" s="13">
        <f t="shared" si="0"/>
        <v>0</v>
      </c>
      <c r="J42" s="14">
        <f t="shared" si="1"/>
        <v>0</v>
      </c>
      <c r="K42" s="15" cm="1">
        <f t="array" ref="K42">AVERAGE(ABS($I$3:I42))</f>
        <v>52.825000000000003</v>
      </c>
      <c r="L42" s="15" cm="1">
        <f t="array" ref="L42">AVERAGE(ABS($J$3:J42))</f>
        <v>1.7100000000000002</v>
      </c>
      <c r="O42" s="13">
        <f t="shared" si="2"/>
        <v>0</v>
      </c>
      <c r="P42" s="14">
        <f t="shared" si="3"/>
        <v>0</v>
      </c>
    </row>
    <row r="43" spans="8:16" x14ac:dyDescent="0.25">
      <c r="H43" s="6" t="s">
        <v>27</v>
      </c>
      <c r="I43" s="13">
        <f t="shared" si="0"/>
        <v>0</v>
      </c>
      <c r="J43" s="14">
        <f t="shared" si="1"/>
        <v>0</v>
      </c>
      <c r="K43" s="15" cm="1">
        <f t="array" ref="K43">AVERAGE(ABS($I$3:I43))</f>
        <v>51.536585365853661</v>
      </c>
      <c r="L43" s="15" cm="1">
        <f t="array" ref="L43">AVERAGE(ABS($J$3:J43))</f>
        <v>1.6682926829268294</v>
      </c>
      <c r="O43" s="13">
        <f t="shared" si="2"/>
        <v>0</v>
      </c>
      <c r="P43" s="14">
        <f t="shared" si="3"/>
        <v>0</v>
      </c>
    </row>
    <row r="44" spans="8:16" x14ac:dyDescent="0.25">
      <c r="H44" s="6" t="s">
        <v>27</v>
      </c>
      <c r="I44" s="13">
        <f t="shared" si="0"/>
        <v>0</v>
      </c>
      <c r="J44" s="14">
        <f t="shared" si="1"/>
        <v>0</v>
      </c>
      <c r="K44" s="15" cm="1">
        <f t="array" ref="K44">AVERAGE(ABS($I$3:I44))</f>
        <v>50.30952380952381</v>
      </c>
      <c r="L44" s="15" cm="1">
        <f t="array" ref="L44">AVERAGE(ABS($J$3:J44))</f>
        <v>1.6285714285714288</v>
      </c>
      <c r="O44" s="13">
        <f t="shared" si="2"/>
        <v>0</v>
      </c>
      <c r="P44" s="14">
        <f t="shared" si="3"/>
        <v>0</v>
      </c>
    </row>
    <row r="45" spans="8:16" x14ac:dyDescent="0.25">
      <c r="H45" s="6" t="s">
        <v>27</v>
      </c>
      <c r="I45" s="13">
        <f t="shared" si="0"/>
        <v>0</v>
      </c>
      <c r="J45" s="14">
        <f t="shared" si="1"/>
        <v>0</v>
      </c>
      <c r="K45" s="15" cm="1">
        <f t="array" ref="K45">AVERAGE(ABS($I$3:I45))</f>
        <v>49.139534883720927</v>
      </c>
      <c r="L45" s="15" cm="1">
        <f t="array" ref="L45">AVERAGE(ABS($J$3:J45))</f>
        <v>1.5906976744186048</v>
      </c>
      <c r="O45" s="13">
        <f t="shared" si="2"/>
        <v>0</v>
      </c>
      <c r="P45" s="14">
        <f t="shared" si="3"/>
        <v>0</v>
      </c>
    </row>
    <row r="46" spans="8:16" x14ac:dyDescent="0.25">
      <c r="H46" s="6" t="s">
        <v>27</v>
      </c>
      <c r="I46" s="13">
        <f t="shared" si="0"/>
        <v>0</v>
      </c>
      <c r="J46" s="14">
        <f t="shared" si="1"/>
        <v>0</v>
      </c>
      <c r="K46" s="15" cm="1">
        <f t="array" ref="K46">AVERAGE(ABS($I$3:I46))</f>
        <v>48.022727272727273</v>
      </c>
      <c r="L46" s="15" cm="1">
        <f t="array" ref="L46">AVERAGE(ABS($J$3:J46))</f>
        <v>1.5545454545454547</v>
      </c>
      <c r="O46" s="13">
        <f t="shared" si="2"/>
        <v>0</v>
      </c>
      <c r="P46" s="14">
        <f t="shared" si="3"/>
        <v>0</v>
      </c>
    </row>
    <row r="47" spans="8:16" x14ac:dyDescent="0.25">
      <c r="H47" s="6" t="s">
        <v>27</v>
      </c>
      <c r="I47" s="13">
        <f t="shared" si="0"/>
        <v>0</v>
      </c>
      <c r="J47" s="14">
        <f t="shared" si="1"/>
        <v>0</v>
      </c>
      <c r="K47" s="15" cm="1">
        <f t="array" ref="K47">AVERAGE(ABS($I$3:I47))</f>
        <v>46.955555555555556</v>
      </c>
      <c r="L47" s="15" cm="1">
        <f t="array" ref="L47">AVERAGE(ABS($J$3:J47))</f>
        <v>1.52</v>
      </c>
      <c r="O47" s="13">
        <f t="shared" si="2"/>
        <v>0</v>
      </c>
      <c r="P47" s="14">
        <f t="shared" si="3"/>
        <v>0</v>
      </c>
    </row>
    <row r="48" spans="8:16" x14ac:dyDescent="0.25">
      <c r="H48" s="6" t="s">
        <v>27</v>
      </c>
      <c r="I48" s="13">
        <f t="shared" si="0"/>
        <v>0</v>
      </c>
      <c r="J48" s="14">
        <f t="shared" si="1"/>
        <v>0</v>
      </c>
      <c r="K48" s="15" cm="1">
        <f t="array" ref="K48">AVERAGE(ABS($I$3:I48))</f>
        <v>45.934782608695649</v>
      </c>
      <c r="L48" s="15" cm="1">
        <f t="array" ref="L48">AVERAGE(ABS($J$3:J48))</f>
        <v>1.4869565217391305</v>
      </c>
      <c r="O48" s="13">
        <f t="shared" si="2"/>
        <v>0</v>
      </c>
      <c r="P48" s="14">
        <f t="shared" si="3"/>
        <v>0</v>
      </c>
    </row>
    <row r="49" spans="8:16" x14ac:dyDescent="0.25">
      <c r="H49" s="6" t="s">
        <v>27</v>
      </c>
      <c r="I49" s="13">
        <f t="shared" si="0"/>
        <v>0</v>
      </c>
      <c r="J49" s="14">
        <f t="shared" si="1"/>
        <v>0</v>
      </c>
      <c r="K49" s="15" cm="1">
        <f t="array" ref="K49">AVERAGE(ABS($I$3:I49))</f>
        <v>44.957446808510639</v>
      </c>
      <c r="L49" s="15" cm="1">
        <f t="array" ref="L49">AVERAGE(ABS($J$3:J49))</f>
        <v>1.4553191489361703</v>
      </c>
      <c r="O49" s="13">
        <f t="shared" si="2"/>
        <v>0</v>
      </c>
      <c r="P49" s="14">
        <f t="shared" si="3"/>
        <v>0</v>
      </c>
    </row>
    <row r="50" spans="8:16" x14ac:dyDescent="0.25">
      <c r="H50" s="6" t="s">
        <v>27</v>
      </c>
      <c r="I50" s="13">
        <f t="shared" si="0"/>
        <v>0</v>
      </c>
      <c r="J50" s="14">
        <f t="shared" si="1"/>
        <v>0</v>
      </c>
      <c r="K50" s="15" cm="1">
        <f t="array" ref="K50">AVERAGE(ABS($I$3:I50))</f>
        <v>44.020833333333336</v>
      </c>
      <c r="L50" s="15" cm="1">
        <f t="array" ref="L50">AVERAGE(ABS($J$3:J50))</f>
        <v>1.425</v>
      </c>
      <c r="O50" s="13">
        <f t="shared" si="2"/>
        <v>0</v>
      </c>
      <c r="P50" s="14">
        <f t="shared" si="3"/>
        <v>0</v>
      </c>
    </row>
    <row r="51" spans="8:16" x14ac:dyDescent="0.25">
      <c r="H51" s="6" t="s">
        <v>27</v>
      </c>
      <c r="I51" s="13">
        <f t="shared" si="0"/>
        <v>0</v>
      </c>
      <c r="J51" s="14">
        <f t="shared" si="1"/>
        <v>0</v>
      </c>
      <c r="K51" s="15" cm="1">
        <f t="array" ref="K51">AVERAGE(ABS($I$3:I51))</f>
        <v>43.122448979591837</v>
      </c>
      <c r="L51" s="15" cm="1">
        <f t="array" ref="L51">AVERAGE(ABS($J$3:J51))</f>
        <v>1.3959183673469389</v>
      </c>
      <c r="O51" s="13">
        <f t="shared" si="2"/>
        <v>0</v>
      </c>
      <c r="P51" s="14">
        <f t="shared" si="3"/>
        <v>0</v>
      </c>
    </row>
    <row r="52" spans="8:16" x14ac:dyDescent="0.25">
      <c r="H52" s="6" t="s">
        <v>27</v>
      </c>
      <c r="I52" s="13">
        <f t="shared" si="0"/>
        <v>0</v>
      </c>
      <c r="J52" s="14">
        <f t="shared" si="1"/>
        <v>0</v>
      </c>
      <c r="K52" s="15" cm="1">
        <f t="array" ref="K52">AVERAGE(ABS($I$3:I52))</f>
        <v>42.26</v>
      </c>
      <c r="L52" s="15" cm="1">
        <f t="array" ref="L52">AVERAGE(ABS($J$3:J52))</f>
        <v>1.3680000000000001</v>
      </c>
      <c r="O52" s="13">
        <f t="shared" si="2"/>
        <v>0</v>
      </c>
      <c r="P52" s="14">
        <f t="shared" si="3"/>
        <v>0</v>
      </c>
    </row>
    <row r="53" spans="8:16" x14ac:dyDescent="0.25">
      <c r="H53" s="6" t="s">
        <v>27</v>
      </c>
      <c r="I53" s="13">
        <f t="shared" si="0"/>
        <v>0</v>
      </c>
      <c r="J53" s="14">
        <f t="shared" si="1"/>
        <v>0</v>
      </c>
      <c r="K53" s="15" cm="1">
        <f t="array" ref="K53">AVERAGE(ABS($I$3:I53))</f>
        <v>41.431372549019606</v>
      </c>
      <c r="L53" s="15" cm="1">
        <f t="array" ref="L53">AVERAGE(ABS($J$3:J53))</f>
        <v>1.3411764705882354</v>
      </c>
      <c r="O53" s="13">
        <f t="shared" si="2"/>
        <v>0</v>
      </c>
      <c r="P53" s="14">
        <f t="shared" si="3"/>
        <v>0</v>
      </c>
    </row>
    <row r="54" spans="8:16" x14ac:dyDescent="0.25">
      <c r="H54" s="6" t="s">
        <v>27</v>
      </c>
      <c r="I54" s="13">
        <f t="shared" si="0"/>
        <v>0</v>
      </c>
      <c r="J54" s="14">
        <f t="shared" si="1"/>
        <v>0</v>
      </c>
      <c r="K54" s="15" cm="1">
        <f t="array" ref="K54">AVERAGE(ABS($I$3:I54))</f>
        <v>40.634615384615387</v>
      </c>
      <c r="L54" s="15" cm="1">
        <f t="array" ref="L54">AVERAGE(ABS($J$3:J54))</f>
        <v>1.3153846153846156</v>
      </c>
      <c r="O54" s="13">
        <f t="shared" si="2"/>
        <v>0</v>
      </c>
      <c r="P54" s="14">
        <f t="shared" si="3"/>
        <v>0</v>
      </c>
    </row>
    <row r="55" spans="8:16" x14ac:dyDescent="0.25">
      <c r="H55" s="6" t="s">
        <v>27</v>
      </c>
      <c r="I55" s="13">
        <f t="shared" si="0"/>
        <v>0</v>
      </c>
      <c r="J55" s="14">
        <f t="shared" si="1"/>
        <v>0</v>
      </c>
      <c r="K55" s="15" cm="1">
        <f t="array" ref="K55">AVERAGE(ABS($I$3:I55))</f>
        <v>39.867924528301884</v>
      </c>
      <c r="L55" s="15" cm="1">
        <f t="array" ref="L55">AVERAGE(ABS($J$3:J55))</f>
        <v>1.2905660377358492</v>
      </c>
      <c r="O55" s="13">
        <f t="shared" si="2"/>
        <v>0</v>
      </c>
      <c r="P55" s="14">
        <f t="shared" si="3"/>
        <v>0</v>
      </c>
    </row>
    <row r="56" spans="8:16" x14ac:dyDescent="0.25">
      <c r="H56" s="6" t="s">
        <v>27</v>
      </c>
      <c r="I56" s="13">
        <f t="shared" si="0"/>
        <v>0</v>
      </c>
      <c r="J56" s="14">
        <f t="shared" si="1"/>
        <v>0</v>
      </c>
      <c r="K56" s="15" cm="1">
        <f t="array" ref="K56">AVERAGE(ABS($I$3:I56))</f>
        <v>39.129629629629626</v>
      </c>
      <c r="L56" s="15" cm="1">
        <f t="array" ref="L56">AVERAGE(ABS($J$3:J56))</f>
        <v>1.2666666666666668</v>
      </c>
      <c r="O56" s="13">
        <f t="shared" si="2"/>
        <v>0</v>
      </c>
      <c r="P56" s="14">
        <f t="shared" si="3"/>
        <v>0</v>
      </c>
    </row>
    <row r="57" spans="8:16" x14ac:dyDescent="0.25">
      <c r="H57" s="6" t="s">
        <v>27</v>
      </c>
      <c r="I57" s="13">
        <f t="shared" si="0"/>
        <v>0</v>
      </c>
      <c r="J57" s="14">
        <f t="shared" si="1"/>
        <v>0</v>
      </c>
      <c r="K57" s="15" cm="1">
        <f t="array" ref="K57">AVERAGE(ABS($I$3:I57))</f>
        <v>38.418181818181822</v>
      </c>
      <c r="L57" s="15" cm="1">
        <f t="array" ref="L57">AVERAGE(ABS($J$3:J57))</f>
        <v>1.2436363636363637</v>
      </c>
      <c r="O57" s="13">
        <f t="shared" si="2"/>
        <v>0</v>
      </c>
      <c r="P57" s="14">
        <f t="shared" si="3"/>
        <v>0</v>
      </c>
    </row>
    <row r="58" spans="8:16" x14ac:dyDescent="0.25">
      <c r="H58" s="6" t="s">
        <v>27</v>
      </c>
      <c r="I58" s="13">
        <f t="shared" si="0"/>
        <v>0</v>
      </c>
      <c r="J58" s="14">
        <f t="shared" si="1"/>
        <v>0</v>
      </c>
      <c r="K58" s="15" cm="1">
        <f t="array" ref="K58">AVERAGE(ABS($I$3:I58))</f>
        <v>37.732142857142854</v>
      </c>
      <c r="L58" s="15" cm="1">
        <f t="array" ref="L58">AVERAGE(ABS($J$3:J58))</f>
        <v>1.2214285714285715</v>
      </c>
      <c r="O58" s="13">
        <f t="shared" si="2"/>
        <v>0</v>
      </c>
      <c r="P58" s="14">
        <f t="shared" si="3"/>
        <v>0</v>
      </c>
    </row>
    <row r="59" spans="8:16" x14ac:dyDescent="0.25">
      <c r="H59" s="6" t="s">
        <v>27</v>
      </c>
      <c r="I59" s="13">
        <f t="shared" si="0"/>
        <v>0</v>
      </c>
      <c r="J59" s="14">
        <f t="shared" si="1"/>
        <v>0</v>
      </c>
      <c r="K59" s="15" cm="1">
        <f t="array" ref="K59">AVERAGE(ABS($I$3:I59))</f>
        <v>37.070175438596493</v>
      </c>
      <c r="L59" s="15" cm="1">
        <f t="array" ref="L59">AVERAGE(ABS($J$3:J59))</f>
        <v>1.2000000000000002</v>
      </c>
      <c r="O59" s="13">
        <f t="shared" si="2"/>
        <v>0</v>
      </c>
      <c r="P59" s="14">
        <f t="shared" si="3"/>
        <v>0</v>
      </c>
    </row>
    <row r="60" spans="8:16" x14ac:dyDescent="0.25">
      <c r="H60" s="6" t="s">
        <v>27</v>
      </c>
      <c r="I60" s="13">
        <f t="shared" si="0"/>
        <v>0</v>
      </c>
      <c r="J60" s="14">
        <f t="shared" si="1"/>
        <v>0</v>
      </c>
      <c r="K60" s="15" cm="1">
        <f t="array" ref="K60">AVERAGE(ABS($I$3:I60))</f>
        <v>36.431034482758619</v>
      </c>
      <c r="L60" s="15" cm="1">
        <f t="array" ref="L60">AVERAGE(ABS($J$3:J60))</f>
        <v>1.1793103448275863</v>
      </c>
      <c r="O60" s="13">
        <f t="shared" si="2"/>
        <v>0</v>
      </c>
      <c r="P60" s="14">
        <f t="shared" si="3"/>
        <v>0</v>
      </c>
    </row>
    <row r="61" spans="8:16" x14ac:dyDescent="0.25">
      <c r="H61" s="6" t="s">
        <v>27</v>
      </c>
      <c r="I61" s="13">
        <f t="shared" si="0"/>
        <v>0</v>
      </c>
      <c r="J61" s="14">
        <f t="shared" si="1"/>
        <v>0</v>
      </c>
      <c r="K61" s="15" cm="1">
        <f t="array" ref="K61">AVERAGE(ABS($I$3:I61))</f>
        <v>35.813559322033896</v>
      </c>
      <c r="L61" s="15" cm="1">
        <f t="array" ref="L61">AVERAGE(ABS($J$3:J61))</f>
        <v>1.1593220338983052</v>
      </c>
      <c r="O61" s="13">
        <f t="shared" si="2"/>
        <v>0</v>
      </c>
      <c r="P61" s="14">
        <f t="shared" si="3"/>
        <v>0</v>
      </c>
    </row>
    <row r="62" spans="8:16" x14ac:dyDescent="0.25">
      <c r="H62" s="6" t="s">
        <v>27</v>
      </c>
      <c r="I62" s="13">
        <f t="shared" si="0"/>
        <v>0</v>
      </c>
      <c r="J62" s="14">
        <f t="shared" si="1"/>
        <v>0</v>
      </c>
      <c r="K62" s="15" cm="1">
        <f t="array" ref="K62">AVERAGE(ABS($I$3:I62))</f>
        <v>35.216666666666669</v>
      </c>
      <c r="L62" s="15" cm="1">
        <f t="array" ref="L62">AVERAGE(ABS($J$3:J62))</f>
        <v>1.1400000000000001</v>
      </c>
      <c r="O62" s="13">
        <f t="shared" si="2"/>
        <v>0</v>
      </c>
      <c r="P62" s="14">
        <f t="shared" si="3"/>
        <v>0</v>
      </c>
    </row>
    <row r="63" spans="8:16" x14ac:dyDescent="0.25">
      <c r="H63" s="6" t="s">
        <v>27</v>
      </c>
      <c r="I63" s="13">
        <f t="shared" si="0"/>
        <v>0</v>
      </c>
      <c r="J63" s="14">
        <f t="shared" si="1"/>
        <v>0</v>
      </c>
      <c r="K63" s="15" cm="1">
        <f t="array" ref="K63">AVERAGE(ABS($I$3:I63))</f>
        <v>34.639344262295083</v>
      </c>
      <c r="L63" s="15" cm="1">
        <f t="array" ref="L63">AVERAGE(ABS($J$3:J63))</f>
        <v>1.1213114754098361</v>
      </c>
      <c r="O63" s="13">
        <f t="shared" si="2"/>
        <v>0</v>
      </c>
      <c r="P63" s="14">
        <f t="shared" si="3"/>
        <v>0</v>
      </c>
    </row>
    <row r="64" spans="8:16" x14ac:dyDescent="0.25">
      <c r="H64" s="6" t="s">
        <v>27</v>
      </c>
      <c r="I64" s="13">
        <f t="shared" si="0"/>
        <v>0</v>
      </c>
      <c r="J64" s="14">
        <f t="shared" si="1"/>
        <v>0</v>
      </c>
      <c r="K64" s="15" cm="1">
        <f t="array" ref="K64">AVERAGE(ABS($I$3:I64))</f>
        <v>34.08064516129032</v>
      </c>
      <c r="L64" s="15" cm="1">
        <f t="array" ref="L64">AVERAGE(ABS($J$3:J64))</f>
        <v>1.1032258064516129</v>
      </c>
      <c r="O64" s="13">
        <f t="shared" si="2"/>
        <v>0</v>
      </c>
      <c r="P64" s="14">
        <f t="shared" si="3"/>
        <v>0</v>
      </c>
    </row>
    <row r="65" spans="8:16" x14ac:dyDescent="0.25">
      <c r="H65" s="6" t="s">
        <v>27</v>
      </c>
      <c r="I65" s="13">
        <f t="shared" si="0"/>
        <v>0</v>
      </c>
      <c r="J65" s="14">
        <f t="shared" si="1"/>
        <v>0</v>
      </c>
      <c r="K65" s="15" cm="1">
        <f t="array" ref="K65">AVERAGE(ABS($I$3:I65))</f>
        <v>33.539682539682538</v>
      </c>
      <c r="L65" s="15" cm="1">
        <f t="array" ref="L65">AVERAGE(ABS($J$3:J65))</f>
        <v>1.0857142857142859</v>
      </c>
      <c r="O65" s="13">
        <f t="shared" si="2"/>
        <v>0</v>
      </c>
      <c r="P65" s="14">
        <f t="shared" si="3"/>
        <v>0</v>
      </c>
    </row>
    <row r="66" spans="8:16" x14ac:dyDescent="0.25">
      <c r="H66" s="6" t="s">
        <v>27</v>
      </c>
      <c r="I66" s="13">
        <f t="shared" si="0"/>
        <v>0</v>
      </c>
      <c r="J66" s="14">
        <f t="shared" si="1"/>
        <v>0</v>
      </c>
      <c r="K66" s="15" cm="1">
        <f t="array" ref="K66">AVERAGE(ABS($I$3:I66))</f>
        <v>33.015625</v>
      </c>
      <c r="L66" s="15" cm="1">
        <f t="array" ref="L66">AVERAGE(ABS($J$3:J66))</f>
        <v>1.0687500000000001</v>
      </c>
      <c r="O66" s="13">
        <f t="shared" si="2"/>
        <v>0</v>
      </c>
      <c r="P66" s="14">
        <f t="shared" si="3"/>
        <v>0</v>
      </c>
    </row>
    <row r="67" spans="8:16" x14ac:dyDescent="0.25">
      <c r="H67" s="6" t="s">
        <v>27</v>
      </c>
      <c r="I67" s="13">
        <f t="shared" si="0"/>
        <v>0</v>
      </c>
      <c r="J67" s="14">
        <f t="shared" si="1"/>
        <v>0</v>
      </c>
      <c r="K67" s="15" cm="1">
        <f t="array" ref="K67">AVERAGE(ABS($I$3:I67))</f>
        <v>32.507692307692309</v>
      </c>
      <c r="L67" s="15" cm="1">
        <f t="array" ref="L67">AVERAGE(ABS($J$3:J67))</f>
        <v>1.0523076923076924</v>
      </c>
      <c r="O67" s="13">
        <f t="shared" si="2"/>
        <v>0</v>
      </c>
      <c r="P67" s="14">
        <f t="shared" si="3"/>
        <v>0</v>
      </c>
    </row>
    <row r="68" spans="8:16" x14ac:dyDescent="0.25">
      <c r="H68" s="6" t="s">
        <v>27</v>
      </c>
      <c r="I68" s="13">
        <f t="shared" ref="I68:I131" si="9">(E68-D68)</f>
        <v>0</v>
      </c>
      <c r="J68" s="14">
        <f t="shared" ref="J68:J131" si="10">(G68-F68)</f>
        <v>0</v>
      </c>
      <c r="K68" s="15" cm="1">
        <f t="array" ref="K68">AVERAGE(ABS($I$3:I68))</f>
        <v>32.015151515151516</v>
      </c>
      <c r="L68" s="15" cm="1">
        <f t="array" ref="L68">AVERAGE(ABS($J$3:J68))</f>
        <v>1.0363636363636364</v>
      </c>
      <c r="O68" s="13">
        <f t="shared" ref="O68:O131" si="11">(M68-D68)</f>
        <v>0</v>
      </c>
      <c r="P68" s="14">
        <f t="shared" ref="P68:P131" si="12">(N68-F68)</f>
        <v>0</v>
      </c>
    </row>
    <row r="69" spans="8:16" x14ac:dyDescent="0.25">
      <c r="H69" s="6" t="s">
        <v>27</v>
      </c>
      <c r="I69" s="13">
        <f t="shared" si="9"/>
        <v>0</v>
      </c>
      <c r="J69" s="14">
        <f t="shared" si="10"/>
        <v>0</v>
      </c>
      <c r="K69" s="15" cm="1">
        <f t="array" ref="K69">AVERAGE(ABS($I$3:I69))</f>
        <v>31.53731343283582</v>
      </c>
      <c r="L69" s="15" cm="1">
        <f t="array" ref="L69">AVERAGE(ABS($J$3:J69))</f>
        <v>1.0208955223880598</v>
      </c>
      <c r="O69" s="13">
        <f t="shared" si="11"/>
        <v>0</v>
      </c>
      <c r="P69" s="14">
        <f t="shared" si="12"/>
        <v>0</v>
      </c>
    </row>
    <row r="70" spans="8:16" x14ac:dyDescent="0.25">
      <c r="H70" s="6" t="s">
        <v>27</v>
      </c>
      <c r="I70" s="13">
        <f t="shared" si="9"/>
        <v>0</v>
      </c>
      <c r="J70" s="14">
        <f t="shared" si="10"/>
        <v>0</v>
      </c>
      <c r="K70" s="15" cm="1">
        <f t="array" ref="K70">AVERAGE(ABS($I$3:I70))</f>
        <v>31.073529411764707</v>
      </c>
      <c r="L70" s="15" cm="1">
        <f t="array" ref="L70">AVERAGE(ABS($J$3:J70))</f>
        <v>1.0058823529411764</v>
      </c>
      <c r="O70" s="13">
        <f t="shared" si="11"/>
        <v>0</v>
      </c>
      <c r="P70" s="14">
        <f t="shared" si="12"/>
        <v>0</v>
      </c>
    </row>
    <row r="71" spans="8:16" x14ac:dyDescent="0.25">
      <c r="H71" s="6" t="s">
        <v>27</v>
      </c>
      <c r="I71" s="13">
        <f t="shared" si="9"/>
        <v>0</v>
      </c>
      <c r="J71" s="14">
        <f t="shared" si="10"/>
        <v>0</v>
      </c>
      <c r="K71" s="15" cm="1">
        <f t="array" ref="K71">AVERAGE(ABS($I$3:I71))</f>
        <v>30.623188405797102</v>
      </c>
      <c r="L71" s="15" cm="1">
        <f t="array" ref="L71">AVERAGE(ABS($J$3:J71))</f>
        <v>0.99130434782608701</v>
      </c>
      <c r="O71" s="13">
        <f t="shared" si="11"/>
        <v>0</v>
      </c>
      <c r="P71" s="14">
        <f t="shared" si="12"/>
        <v>0</v>
      </c>
    </row>
    <row r="72" spans="8:16" x14ac:dyDescent="0.25">
      <c r="H72" s="6" t="s">
        <v>27</v>
      </c>
      <c r="I72" s="13">
        <f t="shared" si="9"/>
        <v>0</v>
      </c>
      <c r="J72" s="14">
        <f t="shared" si="10"/>
        <v>0</v>
      </c>
      <c r="K72" s="15" cm="1">
        <f t="array" ref="K72">AVERAGE(ABS($I$3:I72))</f>
        <v>30.185714285714287</v>
      </c>
      <c r="L72" s="15" cm="1">
        <f t="array" ref="L72">AVERAGE(ABS($J$3:J72))</f>
        <v>0.9771428571428572</v>
      </c>
      <c r="O72" s="13">
        <f t="shared" si="11"/>
        <v>0</v>
      </c>
      <c r="P72" s="14">
        <f t="shared" si="12"/>
        <v>0</v>
      </c>
    </row>
    <row r="73" spans="8:16" x14ac:dyDescent="0.25">
      <c r="H73" s="6" t="s">
        <v>27</v>
      </c>
      <c r="I73" s="13">
        <f t="shared" si="9"/>
        <v>0</v>
      </c>
      <c r="J73" s="14">
        <f t="shared" si="10"/>
        <v>0</v>
      </c>
      <c r="K73" s="15" cm="1">
        <f t="array" ref="K73">AVERAGE(ABS($I$3:I73))</f>
        <v>29.760563380281692</v>
      </c>
      <c r="L73" s="15" cm="1">
        <f t="array" ref="L73">AVERAGE(ABS($J$3:J73))</f>
        <v>0.96338028169014089</v>
      </c>
      <c r="O73" s="13">
        <f t="shared" si="11"/>
        <v>0</v>
      </c>
      <c r="P73" s="14">
        <f t="shared" si="12"/>
        <v>0</v>
      </c>
    </row>
    <row r="74" spans="8:16" x14ac:dyDescent="0.25">
      <c r="H74" s="6" t="s">
        <v>27</v>
      </c>
      <c r="I74" s="13">
        <f t="shared" si="9"/>
        <v>0</v>
      </c>
      <c r="J74" s="14">
        <f t="shared" si="10"/>
        <v>0</v>
      </c>
      <c r="K74" s="15" cm="1">
        <f t="array" ref="K74">AVERAGE(ABS($I$3:I74))</f>
        <v>29.347222222222221</v>
      </c>
      <c r="L74" s="15" cm="1">
        <f t="array" ref="L74">AVERAGE(ABS($J$3:J74))</f>
        <v>0.95000000000000007</v>
      </c>
      <c r="O74" s="13">
        <f t="shared" si="11"/>
        <v>0</v>
      </c>
      <c r="P74" s="14">
        <f t="shared" si="12"/>
        <v>0</v>
      </c>
    </row>
    <row r="75" spans="8:16" x14ac:dyDescent="0.25">
      <c r="H75" s="6" t="s">
        <v>27</v>
      </c>
      <c r="I75" s="13">
        <f t="shared" si="9"/>
        <v>0</v>
      </c>
      <c r="J75" s="14">
        <f t="shared" si="10"/>
        <v>0</v>
      </c>
      <c r="K75" s="15" cm="1">
        <f t="array" ref="K75">AVERAGE(ABS($I$3:I75))</f>
        <v>28.945205479452056</v>
      </c>
      <c r="L75" s="15" cm="1">
        <f t="array" ref="L75">AVERAGE(ABS($J$3:J75))</f>
        <v>0.93698630136986305</v>
      </c>
      <c r="O75" s="13">
        <f t="shared" si="11"/>
        <v>0</v>
      </c>
      <c r="P75" s="14">
        <f t="shared" si="12"/>
        <v>0</v>
      </c>
    </row>
    <row r="76" spans="8:16" x14ac:dyDescent="0.25">
      <c r="H76" s="6" t="s">
        <v>27</v>
      </c>
      <c r="I76" s="13">
        <f t="shared" si="9"/>
        <v>0</v>
      </c>
      <c r="J76" s="14">
        <f t="shared" si="10"/>
        <v>0</v>
      </c>
      <c r="K76" s="15" cm="1">
        <f t="array" ref="K76">AVERAGE(ABS($I$3:I76))</f>
        <v>28.554054054054053</v>
      </c>
      <c r="L76" s="15" cm="1">
        <f t="array" ref="L76">AVERAGE(ABS($J$3:J76))</f>
        <v>0.92432432432432443</v>
      </c>
      <c r="O76" s="13">
        <f t="shared" si="11"/>
        <v>0</v>
      </c>
      <c r="P76" s="14">
        <f t="shared" si="12"/>
        <v>0</v>
      </c>
    </row>
    <row r="77" spans="8:16" x14ac:dyDescent="0.25">
      <c r="H77" s="6" t="s">
        <v>27</v>
      </c>
      <c r="I77" s="13">
        <f t="shared" si="9"/>
        <v>0</v>
      </c>
      <c r="J77" s="14">
        <f t="shared" si="10"/>
        <v>0</v>
      </c>
      <c r="K77" s="15" cm="1">
        <f t="array" ref="K77">AVERAGE(ABS($I$3:I77))</f>
        <v>28.173333333333332</v>
      </c>
      <c r="L77" s="15" cm="1">
        <f t="array" ref="L77">AVERAGE(ABS($J$3:J77))</f>
        <v>0.91200000000000003</v>
      </c>
      <c r="O77" s="13">
        <f t="shared" si="11"/>
        <v>0</v>
      </c>
      <c r="P77" s="14">
        <f t="shared" si="12"/>
        <v>0</v>
      </c>
    </row>
    <row r="78" spans="8:16" x14ac:dyDescent="0.25">
      <c r="H78" s="6" t="s">
        <v>27</v>
      </c>
      <c r="I78" s="13">
        <f t="shared" si="9"/>
        <v>0</v>
      </c>
      <c r="J78" s="14">
        <f t="shared" si="10"/>
        <v>0</v>
      </c>
      <c r="K78" s="15" cm="1">
        <f t="array" ref="K78">AVERAGE(ABS($I$3:I78))</f>
        <v>27.80263157894737</v>
      </c>
      <c r="L78" s="15" cm="1">
        <f t="array" ref="L78">AVERAGE(ABS($J$3:J78))</f>
        <v>0.9</v>
      </c>
      <c r="O78" s="13">
        <f t="shared" si="11"/>
        <v>0</v>
      </c>
      <c r="P78" s="14">
        <f t="shared" si="12"/>
        <v>0</v>
      </c>
    </row>
    <row r="79" spans="8:16" x14ac:dyDescent="0.25">
      <c r="H79" s="6" t="s">
        <v>27</v>
      </c>
      <c r="I79" s="13">
        <f t="shared" si="9"/>
        <v>0</v>
      </c>
      <c r="J79" s="14">
        <f t="shared" si="10"/>
        <v>0</v>
      </c>
      <c r="K79" s="15" cm="1">
        <f t="array" ref="K79">AVERAGE(ABS($I$3:I79))</f>
        <v>27.441558441558442</v>
      </c>
      <c r="L79" s="15" cm="1">
        <f t="array" ref="L79">AVERAGE(ABS($J$3:J79))</f>
        <v>0.88831168831168839</v>
      </c>
      <c r="O79" s="13">
        <f t="shared" si="11"/>
        <v>0</v>
      </c>
      <c r="P79" s="14">
        <f t="shared" si="12"/>
        <v>0</v>
      </c>
    </row>
    <row r="80" spans="8:16" x14ac:dyDescent="0.25">
      <c r="H80" s="6" t="s">
        <v>27</v>
      </c>
      <c r="I80" s="13">
        <f t="shared" si="9"/>
        <v>0</v>
      </c>
      <c r="J80" s="14">
        <f t="shared" si="10"/>
        <v>0</v>
      </c>
      <c r="K80" s="15" cm="1">
        <f t="array" ref="K80">AVERAGE(ABS($I$3:I80))</f>
        <v>27.089743589743591</v>
      </c>
      <c r="L80" s="15" cm="1">
        <f t="array" ref="L80">AVERAGE(ABS($J$3:J80))</f>
        <v>0.87692307692307703</v>
      </c>
      <c r="O80" s="13">
        <f t="shared" si="11"/>
        <v>0</v>
      </c>
      <c r="P80" s="14">
        <f t="shared" si="12"/>
        <v>0</v>
      </c>
    </row>
    <row r="81" spans="8:16" x14ac:dyDescent="0.25">
      <c r="H81" s="6" t="s">
        <v>27</v>
      </c>
      <c r="I81" s="13">
        <f t="shared" si="9"/>
        <v>0</v>
      </c>
      <c r="J81" s="14">
        <f t="shared" si="10"/>
        <v>0</v>
      </c>
      <c r="K81" s="15" cm="1">
        <f t="array" ref="K81">AVERAGE(ABS($I$3:I81))</f>
        <v>26.746835443037973</v>
      </c>
      <c r="L81" s="15" cm="1">
        <f t="array" ref="L81">AVERAGE(ABS($J$3:J81))</f>
        <v>0.86582278481012664</v>
      </c>
      <c r="O81" s="13">
        <f t="shared" si="11"/>
        <v>0</v>
      </c>
      <c r="P81" s="14">
        <f t="shared" si="12"/>
        <v>0</v>
      </c>
    </row>
    <row r="82" spans="8:16" x14ac:dyDescent="0.25">
      <c r="H82" s="6" t="s">
        <v>27</v>
      </c>
      <c r="I82" s="13">
        <f t="shared" si="9"/>
        <v>0</v>
      </c>
      <c r="J82" s="14">
        <f t="shared" si="10"/>
        <v>0</v>
      </c>
      <c r="K82" s="15" cm="1">
        <f t="array" ref="K82">AVERAGE(ABS($I$3:I82))</f>
        <v>26.412500000000001</v>
      </c>
      <c r="L82" s="15" cm="1">
        <f t="array" ref="L82">AVERAGE(ABS($J$3:J82))</f>
        <v>0.85500000000000009</v>
      </c>
      <c r="O82" s="13">
        <f t="shared" si="11"/>
        <v>0</v>
      </c>
      <c r="P82" s="14">
        <f t="shared" si="12"/>
        <v>0</v>
      </c>
    </row>
    <row r="83" spans="8:16" x14ac:dyDescent="0.25">
      <c r="H83" s="6" t="s">
        <v>27</v>
      </c>
      <c r="I83" s="13">
        <f t="shared" si="9"/>
        <v>0</v>
      </c>
      <c r="J83" s="14">
        <f t="shared" si="10"/>
        <v>0</v>
      </c>
      <c r="K83" s="15" cm="1">
        <f t="array" ref="K83">AVERAGE(ABS($I$3:I83))</f>
        <v>26.086419753086421</v>
      </c>
      <c r="L83" s="15" cm="1">
        <f t="array" ref="L83">AVERAGE(ABS($J$3:J83))</f>
        <v>0.84444444444444455</v>
      </c>
      <c r="O83" s="13">
        <f t="shared" si="11"/>
        <v>0</v>
      </c>
      <c r="P83" s="14">
        <f t="shared" si="12"/>
        <v>0</v>
      </c>
    </row>
    <row r="84" spans="8:16" x14ac:dyDescent="0.25">
      <c r="H84" s="6" t="s">
        <v>27</v>
      </c>
      <c r="I84" s="13">
        <f t="shared" si="9"/>
        <v>0</v>
      </c>
      <c r="J84" s="14">
        <f t="shared" si="10"/>
        <v>0</v>
      </c>
      <c r="K84" s="15" cm="1">
        <f t="array" ref="K84">AVERAGE(ABS($I$3:I84))</f>
        <v>25.76829268292683</v>
      </c>
      <c r="L84" s="15" cm="1">
        <f t="array" ref="L84">AVERAGE(ABS($J$3:J84))</f>
        <v>0.83414634146341471</v>
      </c>
      <c r="O84" s="13">
        <f t="shared" si="11"/>
        <v>0</v>
      </c>
      <c r="P84" s="14">
        <f t="shared" si="12"/>
        <v>0</v>
      </c>
    </row>
    <row r="85" spans="8:16" x14ac:dyDescent="0.25">
      <c r="H85" s="6" t="s">
        <v>27</v>
      </c>
      <c r="I85" s="13">
        <f t="shared" si="9"/>
        <v>0</v>
      </c>
      <c r="J85" s="14">
        <f t="shared" si="10"/>
        <v>0</v>
      </c>
      <c r="K85" s="15" cm="1">
        <f t="array" ref="K85">AVERAGE(ABS($I$3:I85))</f>
        <v>25.457831325301203</v>
      </c>
      <c r="L85" s="15" cm="1">
        <f t="array" ref="L85">AVERAGE(ABS($J$3:J85))</f>
        <v>0.8240963855421688</v>
      </c>
      <c r="O85" s="13">
        <f t="shared" si="11"/>
        <v>0</v>
      </c>
      <c r="P85" s="14">
        <f t="shared" si="12"/>
        <v>0</v>
      </c>
    </row>
    <row r="86" spans="8:16" x14ac:dyDescent="0.25">
      <c r="H86" s="6" t="s">
        <v>27</v>
      </c>
      <c r="I86" s="13">
        <f t="shared" si="9"/>
        <v>0</v>
      </c>
      <c r="J86" s="14">
        <f t="shared" si="10"/>
        <v>0</v>
      </c>
      <c r="K86" s="15" cm="1">
        <f t="array" ref="K86">AVERAGE(ABS($I$3:I86))</f>
        <v>25.154761904761905</v>
      </c>
      <c r="L86" s="15" cm="1">
        <f t="array" ref="L86">AVERAGE(ABS($J$3:J86))</f>
        <v>0.81428571428571439</v>
      </c>
      <c r="O86" s="13">
        <f t="shared" si="11"/>
        <v>0</v>
      </c>
      <c r="P86" s="14">
        <f t="shared" si="12"/>
        <v>0</v>
      </c>
    </row>
    <row r="87" spans="8:16" x14ac:dyDescent="0.25">
      <c r="H87" s="6" t="s">
        <v>27</v>
      </c>
      <c r="I87" s="13">
        <f t="shared" si="9"/>
        <v>0</v>
      </c>
      <c r="J87" s="14">
        <f t="shared" si="10"/>
        <v>0</v>
      </c>
      <c r="K87" s="15" cm="1">
        <f t="array" ref="K87">AVERAGE(ABS($I$3:I87))</f>
        <v>24.858823529411765</v>
      </c>
      <c r="L87" s="15" cm="1">
        <f t="array" ref="L87">AVERAGE(ABS($J$3:J87))</f>
        <v>0.80470588235294127</v>
      </c>
      <c r="O87" s="13">
        <f t="shared" si="11"/>
        <v>0</v>
      </c>
      <c r="P87" s="14">
        <f t="shared" si="12"/>
        <v>0</v>
      </c>
    </row>
    <row r="88" spans="8:16" x14ac:dyDescent="0.25">
      <c r="H88" s="6" t="s">
        <v>27</v>
      </c>
      <c r="I88" s="13">
        <f t="shared" si="9"/>
        <v>0</v>
      </c>
      <c r="J88" s="14">
        <f t="shared" si="10"/>
        <v>0</v>
      </c>
      <c r="K88" s="15" cm="1">
        <f t="array" ref="K88">AVERAGE(ABS($I$3:I88))</f>
        <v>24.569767441860463</v>
      </c>
      <c r="L88" s="15" cm="1">
        <f t="array" ref="L88">AVERAGE(ABS($J$3:J88))</f>
        <v>0.79534883720930238</v>
      </c>
      <c r="O88" s="13">
        <f t="shared" si="11"/>
        <v>0</v>
      </c>
      <c r="P88" s="14">
        <f t="shared" si="12"/>
        <v>0</v>
      </c>
    </row>
    <row r="89" spans="8:16" x14ac:dyDescent="0.25">
      <c r="H89" s="6" t="s">
        <v>27</v>
      </c>
      <c r="I89" s="13">
        <f t="shared" si="9"/>
        <v>0</v>
      </c>
      <c r="J89" s="14">
        <f t="shared" si="10"/>
        <v>0</v>
      </c>
      <c r="K89" s="15" cm="1">
        <f t="array" ref="K89">AVERAGE(ABS($I$3:I89))</f>
        <v>24.287356321839081</v>
      </c>
      <c r="L89" s="15" cm="1">
        <f t="array" ref="L89">AVERAGE(ABS($J$3:J89))</f>
        <v>0.78620689655172415</v>
      </c>
      <c r="O89" s="13">
        <f t="shared" si="11"/>
        <v>0</v>
      </c>
      <c r="P89" s="14">
        <f t="shared" si="12"/>
        <v>0</v>
      </c>
    </row>
    <row r="90" spans="8:16" x14ac:dyDescent="0.25">
      <c r="H90" s="6" t="s">
        <v>27</v>
      </c>
      <c r="I90" s="13">
        <f t="shared" si="9"/>
        <v>0</v>
      </c>
      <c r="J90" s="14">
        <f t="shared" si="10"/>
        <v>0</v>
      </c>
      <c r="K90" s="15" cm="1">
        <f t="array" ref="K90">AVERAGE(ABS($I$3:I90))</f>
        <v>24.011363636363637</v>
      </c>
      <c r="L90" s="15" cm="1">
        <f t="array" ref="L90">AVERAGE(ABS($J$3:J90))</f>
        <v>0.77727272727272734</v>
      </c>
      <c r="O90" s="13">
        <f t="shared" si="11"/>
        <v>0</v>
      </c>
      <c r="P90" s="14">
        <f t="shared" si="12"/>
        <v>0</v>
      </c>
    </row>
    <row r="91" spans="8:16" x14ac:dyDescent="0.25">
      <c r="H91" s="6" t="s">
        <v>27</v>
      </c>
      <c r="I91" s="13">
        <f t="shared" si="9"/>
        <v>0</v>
      </c>
      <c r="J91" s="14">
        <f t="shared" si="10"/>
        <v>0</v>
      </c>
      <c r="K91" s="15" cm="1">
        <f t="array" ref="K91">AVERAGE(ABS($I$3:I91))</f>
        <v>23.741573033707866</v>
      </c>
      <c r="L91" s="15" cm="1">
        <f t="array" ref="L91">AVERAGE(ABS($J$3:J91))</f>
        <v>0.76853932584269669</v>
      </c>
      <c r="O91" s="13">
        <f t="shared" si="11"/>
        <v>0</v>
      </c>
      <c r="P91" s="14">
        <f t="shared" si="12"/>
        <v>0</v>
      </c>
    </row>
    <row r="92" spans="8:16" x14ac:dyDescent="0.25">
      <c r="H92" s="6" t="s">
        <v>27</v>
      </c>
      <c r="I92" s="13">
        <f t="shared" si="9"/>
        <v>0</v>
      </c>
      <c r="J92" s="14">
        <f t="shared" si="10"/>
        <v>0</v>
      </c>
      <c r="K92" s="15" cm="1">
        <f t="array" ref="K92">AVERAGE(ABS($I$3:I92))</f>
        <v>23.477777777777778</v>
      </c>
      <c r="L92" s="15" cm="1">
        <f t="array" ref="L92">AVERAGE(ABS($J$3:J92))</f>
        <v>0.76</v>
      </c>
      <c r="O92" s="13">
        <f t="shared" si="11"/>
        <v>0</v>
      </c>
      <c r="P92" s="14">
        <f t="shared" si="12"/>
        <v>0</v>
      </c>
    </row>
    <row r="93" spans="8:16" x14ac:dyDescent="0.25">
      <c r="H93" s="6" t="s">
        <v>27</v>
      </c>
      <c r="I93" s="13">
        <f t="shared" si="9"/>
        <v>0</v>
      </c>
      <c r="J93" s="14">
        <f t="shared" si="10"/>
        <v>0</v>
      </c>
      <c r="K93" s="15" cm="1">
        <f t="array" ref="K93">AVERAGE(ABS($I$3:I93))</f>
        <v>23.219780219780219</v>
      </c>
      <c r="L93" s="15" cm="1">
        <f t="array" ref="L93">AVERAGE(ABS($J$3:J93))</f>
        <v>0.75164835164835175</v>
      </c>
      <c r="O93" s="13">
        <f t="shared" si="11"/>
        <v>0</v>
      </c>
      <c r="P93" s="14">
        <f t="shared" si="12"/>
        <v>0</v>
      </c>
    </row>
    <row r="94" spans="8:16" x14ac:dyDescent="0.25">
      <c r="H94" s="6" t="s">
        <v>27</v>
      </c>
      <c r="I94" s="13">
        <f t="shared" si="9"/>
        <v>0</v>
      </c>
      <c r="J94" s="14">
        <f t="shared" si="10"/>
        <v>0</v>
      </c>
      <c r="K94" s="15" cm="1">
        <f t="array" ref="K94">AVERAGE(ABS($I$3:I94))</f>
        <v>22.967391304347824</v>
      </c>
      <c r="L94" s="15" cm="1">
        <f t="array" ref="L94">AVERAGE(ABS($J$3:J94))</f>
        <v>0.74347826086956526</v>
      </c>
      <c r="O94" s="13">
        <f t="shared" si="11"/>
        <v>0</v>
      </c>
      <c r="P94" s="14">
        <f t="shared" si="12"/>
        <v>0</v>
      </c>
    </row>
    <row r="95" spans="8:16" x14ac:dyDescent="0.25">
      <c r="H95" s="6" t="s">
        <v>27</v>
      </c>
      <c r="I95" s="13">
        <f t="shared" si="9"/>
        <v>0</v>
      </c>
      <c r="J95" s="14">
        <f t="shared" si="10"/>
        <v>0</v>
      </c>
      <c r="K95" s="15" cm="1">
        <f t="array" ref="K95">AVERAGE(ABS($I$3:I95))</f>
        <v>22.72043010752688</v>
      </c>
      <c r="L95" s="15" cm="1">
        <f t="array" ref="L95">AVERAGE(ABS($J$3:J95))</f>
        <v>0.73548387096774204</v>
      </c>
      <c r="O95" s="13">
        <f t="shared" si="11"/>
        <v>0</v>
      </c>
      <c r="P95" s="14">
        <f t="shared" si="12"/>
        <v>0</v>
      </c>
    </row>
    <row r="96" spans="8:16" x14ac:dyDescent="0.25">
      <c r="H96" s="6" t="s">
        <v>27</v>
      </c>
      <c r="I96" s="13">
        <f t="shared" si="9"/>
        <v>0</v>
      </c>
      <c r="J96" s="14">
        <f t="shared" si="10"/>
        <v>0</v>
      </c>
      <c r="K96" s="15" cm="1">
        <f t="array" ref="K96">AVERAGE(ABS($I$3:I96))</f>
        <v>22.478723404255319</v>
      </c>
      <c r="L96" s="15" cm="1">
        <f t="array" ref="L96">AVERAGE(ABS($J$3:J96))</f>
        <v>0.72765957446808516</v>
      </c>
      <c r="O96" s="13">
        <f t="shared" si="11"/>
        <v>0</v>
      </c>
      <c r="P96" s="14">
        <f t="shared" si="12"/>
        <v>0</v>
      </c>
    </row>
    <row r="97" spans="8:16" x14ac:dyDescent="0.25">
      <c r="H97" s="6" t="s">
        <v>27</v>
      </c>
      <c r="I97" s="13">
        <f t="shared" si="9"/>
        <v>0</v>
      </c>
      <c r="J97" s="14">
        <f t="shared" si="10"/>
        <v>0</v>
      </c>
      <c r="K97" s="15" cm="1">
        <f t="array" ref="K97">AVERAGE(ABS($I$3:I97))</f>
        <v>22.242105263157896</v>
      </c>
      <c r="L97" s="15" cm="1">
        <f t="array" ref="L97">AVERAGE(ABS($J$3:J97))</f>
        <v>0.72000000000000008</v>
      </c>
      <c r="O97" s="13">
        <f t="shared" si="11"/>
        <v>0</v>
      </c>
      <c r="P97" s="14">
        <f t="shared" si="12"/>
        <v>0</v>
      </c>
    </row>
    <row r="98" spans="8:16" x14ac:dyDescent="0.25">
      <c r="H98" s="6" t="s">
        <v>27</v>
      </c>
      <c r="I98" s="13">
        <f t="shared" si="9"/>
        <v>0</v>
      </c>
      <c r="J98" s="14">
        <f t="shared" si="10"/>
        <v>0</v>
      </c>
      <c r="K98" s="15" cm="1">
        <f t="array" ref="K98">AVERAGE(ABS($I$3:I98))</f>
        <v>22.010416666666668</v>
      </c>
      <c r="L98" s="15" cm="1">
        <f t="array" ref="L98">AVERAGE(ABS($J$3:J98))</f>
        <v>0.71250000000000002</v>
      </c>
      <c r="O98" s="13">
        <f t="shared" si="11"/>
        <v>0</v>
      </c>
      <c r="P98" s="14">
        <f t="shared" si="12"/>
        <v>0</v>
      </c>
    </row>
    <row r="99" spans="8:16" x14ac:dyDescent="0.25">
      <c r="H99" s="6" t="s">
        <v>27</v>
      </c>
      <c r="I99" s="13">
        <f t="shared" si="9"/>
        <v>0</v>
      </c>
      <c r="J99" s="14">
        <f t="shared" si="10"/>
        <v>0</v>
      </c>
      <c r="K99" s="15" cm="1">
        <f t="array" ref="K99">AVERAGE(ABS($I$3:I99))</f>
        <v>21.783505154639176</v>
      </c>
      <c r="L99" s="15" cm="1">
        <f t="array" ref="L99">AVERAGE(ABS($J$3:J99))</f>
        <v>0.70515463917525778</v>
      </c>
      <c r="O99" s="13">
        <f t="shared" si="11"/>
        <v>0</v>
      </c>
      <c r="P99" s="14">
        <f t="shared" si="12"/>
        <v>0</v>
      </c>
    </row>
    <row r="100" spans="8:16" x14ac:dyDescent="0.25">
      <c r="H100" s="6" t="s">
        <v>27</v>
      </c>
      <c r="I100" s="13">
        <f t="shared" si="9"/>
        <v>0</v>
      </c>
      <c r="J100" s="14">
        <f t="shared" si="10"/>
        <v>0</v>
      </c>
      <c r="K100" s="15" cm="1">
        <f t="array" ref="K100">AVERAGE(ABS($I$3:I100))</f>
        <v>21.561224489795919</v>
      </c>
      <c r="L100" s="15" cm="1">
        <f t="array" ref="L100">AVERAGE(ABS($J$3:J100))</f>
        <v>0.69795918367346943</v>
      </c>
      <c r="O100" s="13">
        <f t="shared" si="11"/>
        <v>0</v>
      </c>
      <c r="P100" s="14">
        <f t="shared" si="12"/>
        <v>0</v>
      </c>
    </row>
    <row r="101" spans="8:16" x14ac:dyDescent="0.25">
      <c r="H101" s="6" t="s">
        <v>27</v>
      </c>
      <c r="I101" s="13">
        <f t="shared" si="9"/>
        <v>0</v>
      </c>
      <c r="J101" s="14">
        <f t="shared" si="10"/>
        <v>0</v>
      </c>
      <c r="K101" s="15" cm="1">
        <f t="array" ref="K101">AVERAGE(ABS($I$3:I101))</f>
        <v>21.343434343434343</v>
      </c>
      <c r="L101" s="15" cm="1">
        <f t="array" ref="L101">AVERAGE(ABS($J$3:J101))</f>
        <v>0.69090909090909092</v>
      </c>
      <c r="O101" s="13">
        <f t="shared" si="11"/>
        <v>0</v>
      </c>
      <c r="P101" s="14">
        <f t="shared" si="12"/>
        <v>0</v>
      </c>
    </row>
    <row r="102" spans="8:16" x14ac:dyDescent="0.25">
      <c r="H102" s="6" t="s">
        <v>27</v>
      </c>
      <c r="I102" s="13">
        <f t="shared" si="9"/>
        <v>0</v>
      </c>
      <c r="J102" s="14">
        <f t="shared" si="10"/>
        <v>0</v>
      </c>
      <c r="K102" s="15" cm="1">
        <f t="array" ref="K102">AVERAGE(ABS($I$3:I102))</f>
        <v>21.13</v>
      </c>
      <c r="L102" s="15" cm="1">
        <f t="array" ref="L102">AVERAGE(ABS($J$3:J102))</f>
        <v>0.68400000000000005</v>
      </c>
      <c r="O102" s="13">
        <f t="shared" si="11"/>
        <v>0</v>
      </c>
      <c r="P102" s="14">
        <f t="shared" si="12"/>
        <v>0</v>
      </c>
    </row>
    <row r="103" spans="8:16" x14ac:dyDescent="0.25">
      <c r="H103" s="6" t="s">
        <v>27</v>
      </c>
      <c r="I103" s="13">
        <f t="shared" si="9"/>
        <v>0</v>
      </c>
      <c r="J103" s="14">
        <f t="shared" si="10"/>
        <v>0</v>
      </c>
      <c r="K103" s="15" cm="1">
        <f t="array" ref="K103">AVERAGE(ABS($I$3:I103))</f>
        <v>20.920792079207921</v>
      </c>
      <c r="L103" s="15" cm="1">
        <f t="array" ref="L103">AVERAGE(ABS($J$3:J103))</f>
        <v>0.67722772277227727</v>
      </c>
      <c r="O103" s="13">
        <f t="shared" si="11"/>
        <v>0</v>
      </c>
      <c r="P103" s="14">
        <f t="shared" si="12"/>
        <v>0</v>
      </c>
    </row>
    <row r="104" spans="8:16" x14ac:dyDescent="0.25">
      <c r="H104" s="6" t="s">
        <v>27</v>
      </c>
      <c r="I104" s="13">
        <f t="shared" si="9"/>
        <v>0</v>
      </c>
      <c r="J104" s="14">
        <f t="shared" si="10"/>
        <v>0</v>
      </c>
      <c r="K104" s="15" cm="1">
        <f t="array" ref="K104">AVERAGE(ABS($I$3:I104))</f>
        <v>20.715686274509803</v>
      </c>
      <c r="L104" s="15" cm="1">
        <f t="array" ref="L104">AVERAGE(ABS($J$3:J104))</f>
        <v>0.67058823529411771</v>
      </c>
      <c r="O104" s="13">
        <f t="shared" si="11"/>
        <v>0</v>
      </c>
      <c r="P104" s="14">
        <f t="shared" si="12"/>
        <v>0</v>
      </c>
    </row>
    <row r="105" spans="8:16" x14ac:dyDescent="0.25">
      <c r="H105" s="6" t="s">
        <v>27</v>
      </c>
      <c r="I105" s="13">
        <f t="shared" si="9"/>
        <v>0</v>
      </c>
      <c r="J105" s="14">
        <f t="shared" si="10"/>
        <v>0</v>
      </c>
      <c r="K105" s="15" cm="1">
        <f t="array" ref="K105">AVERAGE(ABS($I$3:I105))</f>
        <v>20.514563106796118</v>
      </c>
      <c r="L105" s="15" cm="1">
        <f t="array" ref="L105">AVERAGE(ABS($J$3:J105))</f>
        <v>0.66407766990291273</v>
      </c>
      <c r="O105" s="13">
        <f t="shared" si="11"/>
        <v>0</v>
      </c>
      <c r="P105" s="14">
        <f t="shared" si="12"/>
        <v>0</v>
      </c>
    </row>
    <row r="106" spans="8:16" x14ac:dyDescent="0.25">
      <c r="H106" s="6" t="s">
        <v>27</v>
      </c>
      <c r="I106" s="13">
        <f t="shared" si="9"/>
        <v>0</v>
      </c>
      <c r="J106" s="14">
        <f t="shared" si="10"/>
        <v>0</v>
      </c>
      <c r="K106" s="15" cm="1">
        <f t="array" ref="K106">AVERAGE(ABS($I$3:I106))</f>
        <v>20.317307692307693</v>
      </c>
      <c r="L106" s="15" cm="1">
        <f t="array" ref="L106">AVERAGE(ABS($J$3:J106))</f>
        <v>0.6576923076923078</v>
      </c>
      <c r="O106" s="13">
        <f t="shared" si="11"/>
        <v>0</v>
      </c>
      <c r="P106" s="14">
        <f t="shared" si="12"/>
        <v>0</v>
      </c>
    </row>
    <row r="107" spans="8:16" x14ac:dyDescent="0.25">
      <c r="H107" s="6" t="s">
        <v>27</v>
      </c>
      <c r="I107" s="13">
        <f t="shared" si="9"/>
        <v>0</v>
      </c>
      <c r="J107" s="14">
        <f t="shared" si="10"/>
        <v>0</v>
      </c>
      <c r="K107" s="15" cm="1">
        <f t="array" ref="K107">AVERAGE(ABS($I$3:I107))</f>
        <v>20.123809523809523</v>
      </c>
      <c r="L107" s="15" cm="1">
        <f t="array" ref="L107">AVERAGE(ABS($J$3:J107))</f>
        <v>0.65142857142857147</v>
      </c>
      <c r="O107" s="13">
        <f t="shared" si="11"/>
        <v>0</v>
      </c>
      <c r="P107" s="14">
        <f t="shared" si="12"/>
        <v>0</v>
      </c>
    </row>
    <row r="108" spans="8:16" x14ac:dyDescent="0.25">
      <c r="H108" s="6" t="s">
        <v>27</v>
      </c>
      <c r="I108" s="13">
        <f t="shared" si="9"/>
        <v>0</v>
      </c>
      <c r="J108" s="14">
        <f t="shared" si="10"/>
        <v>0</v>
      </c>
      <c r="K108" s="15" cm="1">
        <f t="array" ref="K108">AVERAGE(ABS($I$3:I108))</f>
        <v>19.933962264150942</v>
      </c>
      <c r="L108" s="15" cm="1">
        <f t="array" ref="L108">AVERAGE(ABS($J$3:J108))</f>
        <v>0.64528301886792461</v>
      </c>
      <c r="O108" s="13">
        <f t="shared" si="11"/>
        <v>0</v>
      </c>
      <c r="P108" s="14">
        <f t="shared" si="12"/>
        <v>0</v>
      </c>
    </row>
    <row r="109" spans="8:16" x14ac:dyDescent="0.25">
      <c r="H109" s="6" t="s">
        <v>27</v>
      </c>
      <c r="I109" s="13">
        <f t="shared" si="9"/>
        <v>0</v>
      </c>
      <c r="J109" s="14">
        <f t="shared" si="10"/>
        <v>0</v>
      </c>
      <c r="K109" s="15" cm="1">
        <f t="array" ref="K109">AVERAGE(ABS($I$3:I109))</f>
        <v>19.747663551401867</v>
      </c>
      <c r="L109" s="15" cm="1">
        <f t="array" ref="L109">AVERAGE(ABS($J$3:J109))</f>
        <v>0.63925233644859814</v>
      </c>
      <c r="O109" s="13">
        <f t="shared" si="11"/>
        <v>0</v>
      </c>
      <c r="P109" s="14">
        <f t="shared" si="12"/>
        <v>0</v>
      </c>
    </row>
    <row r="110" spans="8:16" x14ac:dyDescent="0.25">
      <c r="H110" s="6" t="s">
        <v>27</v>
      </c>
      <c r="I110" s="13">
        <f t="shared" si="9"/>
        <v>0</v>
      </c>
      <c r="J110" s="14">
        <f t="shared" si="10"/>
        <v>0</v>
      </c>
      <c r="K110" s="15" cm="1">
        <f t="array" ref="K110">AVERAGE(ABS($I$3:I110))</f>
        <v>19.564814814814813</v>
      </c>
      <c r="L110" s="15" cm="1">
        <f t="array" ref="L110">AVERAGE(ABS($J$3:J110))</f>
        <v>0.63333333333333341</v>
      </c>
      <c r="O110" s="13">
        <f t="shared" si="11"/>
        <v>0</v>
      </c>
      <c r="P110" s="14">
        <f t="shared" si="12"/>
        <v>0</v>
      </c>
    </row>
    <row r="111" spans="8:16" x14ac:dyDescent="0.25">
      <c r="H111" s="6" t="s">
        <v>27</v>
      </c>
      <c r="I111" s="13">
        <f t="shared" si="9"/>
        <v>0</v>
      </c>
      <c r="J111" s="14">
        <f t="shared" si="10"/>
        <v>0</v>
      </c>
      <c r="K111" s="15" cm="1">
        <f t="array" ref="K111">AVERAGE(ABS($I$3:I111))</f>
        <v>19.38532110091743</v>
      </c>
      <c r="L111" s="15" cm="1">
        <f t="array" ref="L111">AVERAGE(ABS($J$3:J111))</f>
        <v>0.62752293577981655</v>
      </c>
      <c r="O111" s="13">
        <f t="shared" si="11"/>
        <v>0</v>
      </c>
      <c r="P111" s="14">
        <f t="shared" si="12"/>
        <v>0</v>
      </c>
    </row>
    <row r="112" spans="8:16" x14ac:dyDescent="0.25">
      <c r="H112" s="6" t="s">
        <v>27</v>
      </c>
      <c r="I112" s="13">
        <f t="shared" si="9"/>
        <v>0</v>
      </c>
      <c r="J112" s="14">
        <f t="shared" si="10"/>
        <v>0</v>
      </c>
      <c r="K112" s="15" cm="1">
        <f t="array" ref="K112">AVERAGE(ABS($I$3:I112))</f>
        <v>19.209090909090911</v>
      </c>
      <c r="L112" s="15" cm="1">
        <f t="array" ref="L112">AVERAGE(ABS($J$3:J112))</f>
        <v>0.62181818181818183</v>
      </c>
      <c r="O112" s="13">
        <f t="shared" si="11"/>
        <v>0</v>
      </c>
      <c r="P112" s="14">
        <f t="shared" si="12"/>
        <v>0</v>
      </c>
    </row>
    <row r="113" spans="8:16" x14ac:dyDescent="0.25">
      <c r="H113" s="6" t="s">
        <v>27</v>
      </c>
      <c r="I113" s="13">
        <f t="shared" si="9"/>
        <v>0</v>
      </c>
      <c r="J113" s="14">
        <f t="shared" si="10"/>
        <v>0</v>
      </c>
      <c r="K113" s="15" cm="1">
        <f t="array" ref="K113">AVERAGE(ABS($I$3:I113))</f>
        <v>19.036036036036037</v>
      </c>
      <c r="L113" s="15" cm="1">
        <f t="array" ref="L113">AVERAGE(ABS($J$3:J113))</f>
        <v>0.61621621621621625</v>
      </c>
      <c r="O113" s="13">
        <f t="shared" si="11"/>
        <v>0</v>
      </c>
      <c r="P113" s="14">
        <f t="shared" si="12"/>
        <v>0</v>
      </c>
    </row>
    <row r="114" spans="8:16" x14ac:dyDescent="0.25">
      <c r="H114" s="6" t="s">
        <v>27</v>
      </c>
      <c r="I114" s="13">
        <f t="shared" si="9"/>
        <v>0</v>
      </c>
      <c r="J114" s="14">
        <f t="shared" si="10"/>
        <v>0</v>
      </c>
      <c r="K114" s="15" cm="1">
        <f t="array" ref="K114">AVERAGE(ABS($I$3:I114))</f>
        <v>18.866071428571427</v>
      </c>
      <c r="L114" s="15" cm="1">
        <f t="array" ref="L114">AVERAGE(ABS($J$3:J114))</f>
        <v>0.61071428571428577</v>
      </c>
      <c r="O114" s="13">
        <f t="shared" si="11"/>
        <v>0</v>
      </c>
      <c r="P114" s="14">
        <f t="shared" si="12"/>
        <v>0</v>
      </c>
    </row>
    <row r="115" spans="8:16" x14ac:dyDescent="0.25">
      <c r="H115" s="6" t="s">
        <v>27</v>
      </c>
      <c r="I115" s="13">
        <f t="shared" si="9"/>
        <v>0</v>
      </c>
      <c r="J115" s="14">
        <f t="shared" si="10"/>
        <v>0</v>
      </c>
      <c r="K115" s="15" cm="1">
        <f t="array" ref="K115">AVERAGE(ABS($I$3:I115))</f>
        <v>18.699115044247787</v>
      </c>
      <c r="L115" s="15" cm="1">
        <f t="array" ref="L115">AVERAGE(ABS($J$3:J115))</f>
        <v>0.60530973451327441</v>
      </c>
      <c r="O115" s="13">
        <f t="shared" si="11"/>
        <v>0</v>
      </c>
      <c r="P115" s="14">
        <f t="shared" si="12"/>
        <v>0</v>
      </c>
    </row>
    <row r="116" spans="8:16" x14ac:dyDescent="0.25">
      <c r="H116" s="6" t="s">
        <v>27</v>
      </c>
      <c r="I116" s="13">
        <f t="shared" si="9"/>
        <v>0</v>
      </c>
      <c r="J116" s="14">
        <f t="shared" si="10"/>
        <v>0</v>
      </c>
      <c r="K116" s="15" cm="1">
        <f t="array" ref="K116">AVERAGE(ABS($I$3:I116))</f>
        <v>18.535087719298247</v>
      </c>
      <c r="L116" s="15" cm="1">
        <f t="array" ref="L116">AVERAGE(ABS($J$3:J116))</f>
        <v>0.60000000000000009</v>
      </c>
      <c r="O116" s="13">
        <f t="shared" si="11"/>
        <v>0</v>
      </c>
      <c r="P116" s="14">
        <f t="shared" si="12"/>
        <v>0</v>
      </c>
    </row>
    <row r="117" spans="8:16" x14ac:dyDescent="0.25">
      <c r="H117" s="6" t="s">
        <v>27</v>
      </c>
      <c r="I117" s="13">
        <f t="shared" si="9"/>
        <v>0</v>
      </c>
      <c r="J117" s="14">
        <f t="shared" si="10"/>
        <v>0</v>
      </c>
      <c r="K117" s="15" cm="1">
        <f t="array" ref="K117">AVERAGE(ABS($I$3:I117))</f>
        <v>18.373913043478261</v>
      </c>
      <c r="L117" s="15" cm="1">
        <f t="array" ref="L117">AVERAGE(ABS($J$3:J117))</f>
        <v>0.59478260869565225</v>
      </c>
      <c r="O117" s="13">
        <f t="shared" si="11"/>
        <v>0</v>
      </c>
      <c r="P117" s="14">
        <f t="shared" si="12"/>
        <v>0</v>
      </c>
    </row>
    <row r="118" spans="8:16" x14ac:dyDescent="0.25">
      <c r="H118" s="6" t="s">
        <v>27</v>
      </c>
      <c r="I118" s="13">
        <f t="shared" si="9"/>
        <v>0</v>
      </c>
      <c r="J118" s="14">
        <f t="shared" si="10"/>
        <v>0</v>
      </c>
      <c r="K118" s="15" cm="1">
        <f t="array" ref="K118">AVERAGE(ABS($I$3:I118))</f>
        <v>18.21551724137931</v>
      </c>
      <c r="L118" s="15" cm="1">
        <f t="array" ref="L118">AVERAGE(ABS($J$3:J118))</f>
        <v>0.58965517241379317</v>
      </c>
      <c r="O118" s="13">
        <f t="shared" si="11"/>
        <v>0</v>
      </c>
      <c r="P118" s="14">
        <f t="shared" si="12"/>
        <v>0</v>
      </c>
    </row>
    <row r="119" spans="8:16" x14ac:dyDescent="0.25">
      <c r="H119" s="6" t="s">
        <v>27</v>
      </c>
      <c r="I119" s="13">
        <f t="shared" si="9"/>
        <v>0</v>
      </c>
      <c r="J119" s="14">
        <f t="shared" si="10"/>
        <v>0</v>
      </c>
      <c r="K119" s="15" cm="1">
        <f t="array" ref="K119">AVERAGE(ABS($I$3:I119))</f>
        <v>18.05982905982906</v>
      </c>
      <c r="L119" s="15" cm="1">
        <f t="array" ref="L119">AVERAGE(ABS($J$3:J119))</f>
        <v>0.58461538461538465</v>
      </c>
      <c r="O119" s="13">
        <f t="shared" si="11"/>
        <v>0</v>
      </c>
      <c r="P119" s="14">
        <f t="shared" si="12"/>
        <v>0</v>
      </c>
    </row>
    <row r="120" spans="8:16" x14ac:dyDescent="0.25">
      <c r="H120" s="6" t="s">
        <v>27</v>
      </c>
      <c r="I120" s="13">
        <f t="shared" si="9"/>
        <v>0</v>
      </c>
      <c r="J120" s="14">
        <f t="shared" si="10"/>
        <v>0</v>
      </c>
      <c r="K120" s="15" cm="1">
        <f t="array" ref="K120">AVERAGE(ABS($I$3:I120))</f>
        <v>17.906779661016948</v>
      </c>
      <c r="L120" s="15" cm="1">
        <f t="array" ref="L120">AVERAGE(ABS($J$3:J120))</f>
        <v>0.57966101694915262</v>
      </c>
      <c r="O120" s="13">
        <f t="shared" si="11"/>
        <v>0</v>
      </c>
      <c r="P120" s="14">
        <f t="shared" si="12"/>
        <v>0</v>
      </c>
    </row>
    <row r="121" spans="8:16" x14ac:dyDescent="0.25">
      <c r="H121" s="6" t="s">
        <v>27</v>
      </c>
      <c r="I121" s="13">
        <f t="shared" si="9"/>
        <v>0</v>
      </c>
      <c r="J121" s="14">
        <f t="shared" si="10"/>
        <v>0</v>
      </c>
      <c r="K121" s="15" cm="1">
        <f t="array" ref="K121">AVERAGE(ABS($I$3:I121))</f>
        <v>17.756302521008404</v>
      </c>
      <c r="L121" s="15" cm="1">
        <f t="array" ref="L121">AVERAGE(ABS($J$3:J121))</f>
        <v>0.57478991596638662</v>
      </c>
      <c r="O121" s="13">
        <f t="shared" si="11"/>
        <v>0</v>
      </c>
      <c r="P121" s="14">
        <f t="shared" si="12"/>
        <v>0</v>
      </c>
    </row>
    <row r="122" spans="8:16" x14ac:dyDescent="0.25">
      <c r="H122" s="6" t="s">
        <v>27</v>
      </c>
      <c r="I122" s="13">
        <f t="shared" si="9"/>
        <v>0</v>
      </c>
      <c r="J122" s="14">
        <f t="shared" si="10"/>
        <v>0</v>
      </c>
      <c r="K122" s="15" cm="1">
        <f t="array" ref="K122">AVERAGE(ABS($I$3:I122))</f>
        <v>17.608333333333334</v>
      </c>
      <c r="L122" s="15" cm="1">
        <f t="array" ref="L122">AVERAGE(ABS($J$3:J122))</f>
        <v>0.57000000000000006</v>
      </c>
      <c r="O122" s="13">
        <f t="shared" si="11"/>
        <v>0</v>
      </c>
      <c r="P122" s="14">
        <f t="shared" si="12"/>
        <v>0</v>
      </c>
    </row>
    <row r="123" spans="8:16" x14ac:dyDescent="0.25">
      <c r="H123" s="6" t="s">
        <v>27</v>
      </c>
      <c r="I123" s="13">
        <f t="shared" si="9"/>
        <v>0</v>
      </c>
      <c r="J123" s="14">
        <f t="shared" si="10"/>
        <v>0</v>
      </c>
      <c r="K123" s="15" cm="1">
        <f t="array" ref="K123">AVERAGE(ABS($I$3:I123))</f>
        <v>17.462809917355372</v>
      </c>
      <c r="L123" s="15" cm="1">
        <f t="array" ref="L123">AVERAGE(ABS($J$3:J123))</f>
        <v>0.56528925619834713</v>
      </c>
      <c r="O123" s="13">
        <f t="shared" si="11"/>
        <v>0</v>
      </c>
      <c r="P123" s="14">
        <f t="shared" si="12"/>
        <v>0</v>
      </c>
    </row>
    <row r="124" spans="8:16" x14ac:dyDescent="0.25">
      <c r="H124" s="6" t="s">
        <v>27</v>
      </c>
      <c r="I124" s="13">
        <f t="shared" si="9"/>
        <v>0</v>
      </c>
      <c r="J124" s="14">
        <f t="shared" si="10"/>
        <v>0</v>
      </c>
      <c r="K124" s="15" cm="1">
        <f t="array" ref="K124">AVERAGE(ABS($I$3:I124))</f>
        <v>17.319672131147541</v>
      </c>
      <c r="L124" s="15" cm="1">
        <f t="array" ref="L124">AVERAGE(ABS($J$3:J124))</f>
        <v>0.56065573770491806</v>
      </c>
      <c r="O124" s="13">
        <f t="shared" si="11"/>
        <v>0</v>
      </c>
      <c r="P124" s="14">
        <f t="shared" si="12"/>
        <v>0</v>
      </c>
    </row>
    <row r="125" spans="8:16" x14ac:dyDescent="0.25">
      <c r="H125" s="6" t="s">
        <v>27</v>
      </c>
      <c r="I125" s="13">
        <f t="shared" si="9"/>
        <v>0</v>
      </c>
      <c r="J125" s="14">
        <f t="shared" si="10"/>
        <v>0</v>
      </c>
      <c r="K125" s="15" cm="1">
        <f t="array" ref="K125">AVERAGE(ABS($I$3:I125))</f>
        <v>17.178861788617887</v>
      </c>
      <c r="L125" s="15" cm="1">
        <f t="array" ref="L125">AVERAGE(ABS($J$3:J125))</f>
        <v>0.55609756097560981</v>
      </c>
      <c r="O125" s="13">
        <f t="shared" si="11"/>
        <v>0</v>
      </c>
      <c r="P125" s="14">
        <f t="shared" si="12"/>
        <v>0</v>
      </c>
    </row>
    <row r="126" spans="8:16" x14ac:dyDescent="0.25">
      <c r="H126" s="6" t="s">
        <v>27</v>
      </c>
      <c r="I126" s="13">
        <f t="shared" si="9"/>
        <v>0</v>
      </c>
      <c r="J126" s="14">
        <f t="shared" si="10"/>
        <v>0</v>
      </c>
      <c r="K126" s="15" cm="1">
        <f t="array" ref="K126">AVERAGE(ABS($I$3:I126))</f>
        <v>17.04032258064516</v>
      </c>
      <c r="L126" s="15" cm="1">
        <f t="array" ref="L126">AVERAGE(ABS($J$3:J126))</f>
        <v>0.55161290322580647</v>
      </c>
      <c r="O126" s="13">
        <f t="shared" si="11"/>
        <v>0</v>
      </c>
      <c r="P126" s="14">
        <f t="shared" si="12"/>
        <v>0</v>
      </c>
    </row>
    <row r="127" spans="8:16" x14ac:dyDescent="0.25">
      <c r="H127" s="6" t="s">
        <v>27</v>
      </c>
      <c r="I127" s="13">
        <f t="shared" si="9"/>
        <v>0</v>
      </c>
      <c r="J127" s="14">
        <f t="shared" si="10"/>
        <v>0</v>
      </c>
      <c r="K127" s="15" cm="1">
        <f t="array" ref="K127">AVERAGE(ABS($I$3:I127))</f>
        <v>16.904</v>
      </c>
      <c r="L127" s="15" cm="1">
        <f t="array" ref="L127">AVERAGE(ABS($J$3:J127))</f>
        <v>0.54720000000000002</v>
      </c>
      <c r="O127" s="13">
        <f t="shared" si="11"/>
        <v>0</v>
      </c>
      <c r="P127" s="14">
        <f t="shared" si="12"/>
        <v>0</v>
      </c>
    </row>
    <row r="128" spans="8:16" x14ac:dyDescent="0.25">
      <c r="H128" s="6" t="s">
        <v>27</v>
      </c>
      <c r="I128" s="13">
        <f t="shared" si="9"/>
        <v>0</v>
      </c>
      <c r="J128" s="14">
        <f t="shared" si="10"/>
        <v>0</v>
      </c>
      <c r="K128" s="15" cm="1">
        <f t="array" ref="K128">AVERAGE(ABS($I$3:I128))</f>
        <v>16.769841269841269</v>
      </c>
      <c r="L128" s="15" cm="1">
        <f t="array" ref="L128">AVERAGE(ABS($J$3:J128))</f>
        <v>0.54285714285714293</v>
      </c>
      <c r="O128" s="13">
        <f t="shared" si="11"/>
        <v>0</v>
      </c>
      <c r="P128" s="14">
        <f t="shared" si="12"/>
        <v>0</v>
      </c>
    </row>
    <row r="129" spans="8:16" x14ac:dyDescent="0.25">
      <c r="H129" s="6" t="s">
        <v>27</v>
      </c>
      <c r="I129" s="13">
        <f t="shared" si="9"/>
        <v>0</v>
      </c>
      <c r="J129" s="14">
        <f t="shared" si="10"/>
        <v>0</v>
      </c>
      <c r="K129" s="15" cm="1">
        <f t="array" ref="K129">AVERAGE(ABS($I$3:I129))</f>
        <v>16.637795275590552</v>
      </c>
      <c r="L129" s="15" cm="1">
        <f t="array" ref="L129">AVERAGE(ABS($J$3:J129))</f>
        <v>0.53858267716535435</v>
      </c>
      <c r="O129" s="13">
        <f t="shared" si="11"/>
        <v>0</v>
      </c>
      <c r="P129" s="14">
        <f t="shared" si="12"/>
        <v>0</v>
      </c>
    </row>
    <row r="130" spans="8:16" x14ac:dyDescent="0.25">
      <c r="H130" s="6" t="s">
        <v>27</v>
      </c>
      <c r="I130" s="13">
        <f t="shared" si="9"/>
        <v>0</v>
      </c>
      <c r="J130" s="14">
        <f t="shared" si="10"/>
        <v>0</v>
      </c>
      <c r="K130" s="15" cm="1">
        <f t="array" ref="K130">AVERAGE(ABS($I$3:I130))</f>
        <v>16.5078125</v>
      </c>
      <c r="L130" s="15" cm="1">
        <f t="array" ref="L130">AVERAGE(ABS($J$3:J130))</f>
        <v>0.53437500000000004</v>
      </c>
      <c r="O130" s="13">
        <f t="shared" si="11"/>
        <v>0</v>
      </c>
      <c r="P130" s="14">
        <f t="shared" si="12"/>
        <v>0</v>
      </c>
    </row>
    <row r="131" spans="8:16" x14ac:dyDescent="0.25">
      <c r="H131" s="6" t="s">
        <v>27</v>
      </c>
      <c r="I131" s="13">
        <f t="shared" si="9"/>
        <v>0</v>
      </c>
      <c r="J131" s="14">
        <f t="shared" si="10"/>
        <v>0</v>
      </c>
      <c r="K131" s="15" cm="1">
        <f t="array" ref="K131">AVERAGE(ABS($I$3:I131))</f>
        <v>16.379844961240309</v>
      </c>
      <c r="L131" s="15" cm="1">
        <f t="array" ref="L131">AVERAGE(ABS($J$3:J131))</f>
        <v>0.53023255813953496</v>
      </c>
      <c r="O131" s="13">
        <f t="shared" si="11"/>
        <v>0</v>
      </c>
      <c r="P131" s="14">
        <f t="shared" si="12"/>
        <v>0</v>
      </c>
    </row>
    <row r="132" spans="8:16" x14ac:dyDescent="0.25">
      <c r="H132" s="6" t="s">
        <v>27</v>
      </c>
      <c r="I132" s="13">
        <f t="shared" ref="I132:I195" si="13">(E132-D132)</f>
        <v>0</v>
      </c>
      <c r="J132" s="14">
        <f t="shared" ref="J132:J195" si="14">(G132-F132)</f>
        <v>0</v>
      </c>
      <c r="K132" s="15" cm="1">
        <f t="array" ref="K132">AVERAGE(ABS($I$3:I132))</f>
        <v>16.253846153846155</v>
      </c>
      <c r="L132" s="15" cm="1">
        <f t="array" ref="L132">AVERAGE(ABS($J$3:J132))</f>
        <v>0.52615384615384619</v>
      </c>
      <c r="O132" s="13">
        <f t="shared" ref="O132:O195" si="15">(M132-D132)</f>
        <v>0</v>
      </c>
      <c r="P132" s="14">
        <f t="shared" ref="P132:P195" si="16">(N132-F132)</f>
        <v>0</v>
      </c>
    </row>
    <row r="133" spans="8:16" x14ac:dyDescent="0.25">
      <c r="H133" s="6" t="s">
        <v>27</v>
      </c>
      <c r="I133" s="13">
        <f t="shared" si="13"/>
        <v>0</v>
      </c>
      <c r="J133" s="14">
        <f t="shared" si="14"/>
        <v>0</v>
      </c>
      <c r="K133" s="15" cm="1">
        <f t="array" ref="K133">AVERAGE(ABS($I$3:I133))</f>
        <v>16.129770992366414</v>
      </c>
      <c r="L133" s="15" cm="1">
        <f t="array" ref="L133">AVERAGE(ABS($J$3:J133))</f>
        <v>0.52213740458015268</v>
      </c>
      <c r="O133" s="13">
        <f t="shared" si="15"/>
        <v>0</v>
      </c>
      <c r="P133" s="14">
        <f t="shared" si="16"/>
        <v>0</v>
      </c>
    </row>
    <row r="134" spans="8:16" x14ac:dyDescent="0.25">
      <c r="H134" s="6" t="s">
        <v>27</v>
      </c>
      <c r="I134" s="13">
        <f t="shared" si="13"/>
        <v>0</v>
      </c>
      <c r="J134" s="14">
        <f t="shared" si="14"/>
        <v>0</v>
      </c>
      <c r="K134" s="15" cm="1">
        <f t="array" ref="K134">AVERAGE(ABS($I$3:I134))</f>
        <v>16.007575757575758</v>
      </c>
      <c r="L134" s="15" cm="1">
        <f t="array" ref="L134">AVERAGE(ABS($J$3:J134))</f>
        <v>0.51818181818181819</v>
      </c>
      <c r="O134" s="13">
        <f t="shared" si="15"/>
        <v>0</v>
      </c>
      <c r="P134" s="14">
        <f t="shared" si="16"/>
        <v>0</v>
      </c>
    </row>
    <row r="135" spans="8:16" x14ac:dyDescent="0.25">
      <c r="H135" s="6" t="s">
        <v>27</v>
      </c>
      <c r="I135" s="13">
        <f t="shared" si="13"/>
        <v>0</v>
      </c>
      <c r="J135" s="14">
        <f t="shared" si="14"/>
        <v>0</v>
      </c>
      <c r="K135" s="15" cm="1">
        <f t="array" ref="K135">AVERAGE(ABS($I$3:I135))</f>
        <v>15.887218045112782</v>
      </c>
      <c r="L135" s="15" cm="1">
        <f t="array" ref="L135">AVERAGE(ABS($J$3:J135))</f>
        <v>0.51428571428571435</v>
      </c>
      <c r="O135" s="13">
        <f t="shared" si="15"/>
        <v>0</v>
      </c>
      <c r="P135" s="14">
        <f t="shared" si="16"/>
        <v>0</v>
      </c>
    </row>
    <row r="136" spans="8:16" x14ac:dyDescent="0.25">
      <c r="H136" s="6" t="s">
        <v>27</v>
      </c>
      <c r="I136" s="13">
        <f t="shared" si="13"/>
        <v>0</v>
      </c>
      <c r="J136" s="14">
        <f t="shared" si="14"/>
        <v>0</v>
      </c>
      <c r="K136" s="15" cm="1">
        <f t="array" ref="K136">AVERAGE(ABS($I$3:I136))</f>
        <v>15.76865671641791</v>
      </c>
      <c r="L136" s="15" cm="1">
        <f t="array" ref="L136">AVERAGE(ABS($J$3:J136))</f>
        <v>0.5104477611940299</v>
      </c>
      <c r="O136" s="13">
        <f t="shared" si="15"/>
        <v>0</v>
      </c>
      <c r="P136" s="14">
        <f t="shared" si="16"/>
        <v>0</v>
      </c>
    </row>
    <row r="137" spans="8:16" x14ac:dyDescent="0.25">
      <c r="H137" s="6" t="s">
        <v>27</v>
      </c>
      <c r="I137" s="13">
        <f t="shared" si="13"/>
        <v>0</v>
      </c>
      <c r="J137" s="14">
        <f t="shared" si="14"/>
        <v>0</v>
      </c>
      <c r="K137" s="15" cm="1">
        <f t="array" ref="K137">AVERAGE(ABS($I$3:I137))</f>
        <v>15.651851851851852</v>
      </c>
      <c r="L137" s="15" cm="1">
        <f t="array" ref="L137">AVERAGE(ABS($J$3:J137))</f>
        <v>0.50666666666666671</v>
      </c>
      <c r="O137" s="13">
        <f t="shared" si="15"/>
        <v>0</v>
      </c>
      <c r="P137" s="14">
        <f t="shared" si="16"/>
        <v>0</v>
      </c>
    </row>
    <row r="138" spans="8:16" x14ac:dyDescent="0.25">
      <c r="H138" s="6" t="s">
        <v>27</v>
      </c>
      <c r="I138" s="13">
        <f t="shared" si="13"/>
        <v>0</v>
      </c>
      <c r="J138" s="14">
        <f t="shared" si="14"/>
        <v>0</v>
      </c>
      <c r="K138" s="15" cm="1">
        <f t="array" ref="K138">AVERAGE(ABS($I$3:I138))</f>
        <v>15.536764705882353</v>
      </c>
      <c r="L138" s="15" cm="1">
        <f t="array" ref="L138">AVERAGE(ABS($J$3:J138))</f>
        <v>0.50294117647058822</v>
      </c>
      <c r="O138" s="13">
        <f t="shared" si="15"/>
        <v>0</v>
      </c>
      <c r="P138" s="14">
        <f t="shared" si="16"/>
        <v>0</v>
      </c>
    </row>
    <row r="139" spans="8:16" x14ac:dyDescent="0.25">
      <c r="H139" s="6" t="s">
        <v>27</v>
      </c>
      <c r="I139" s="13">
        <f t="shared" si="13"/>
        <v>0</v>
      </c>
      <c r="J139" s="14">
        <f t="shared" si="14"/>
        <v>0</v>
      </c>
      <c r="K139" s="15" cm="1">
        <f t="array" ref="K139">AVERAGE(ABS($I$3:I139))</f>
        <v>15.423357664233576</v>
      </c>
      <c r="L139" s="15" cm="1">
        <f t="array" ref="L139">AVERAGE(ABS($J$3:J139))</f>
        <v>0.49927007299270076</v>
      </c>
      <c r="O139" s="13">
        <f t="shared" si="15"/>
        <v>0</v>
      </c>
      <c r="P139" s="14">
        <f t="shared" si="16"/>
        <v>0</v>
      </c>
    </row>
    <row r="140" spans="8:16" x14ac:dyDescent="0.25">
      <c r="H140" s="6" t="s">
        <v>27</v>
      </c>
      <c r="I140" s="13">
        <f t="shared" si="13"/>
        <v>0</v>
      </c>
      <c r="J140" s="14">
        <f t="shared" si="14"/>
        <v>0</v>
      </c>
      <c r="K140" s="15" cm="1">
        <f t="array" ref="K140">AVERAGE(ABS($I$3:I140))</f>
        <v>15.311594202898551</v>
      </c>
      <c r="L140" s="15" cm="1">
        <f t="array" ref="L140">AVERAGE(ABS($J$3:J140))</f>
        <v>0.4956521739130435</v>
      </c>
      <c r="O140" s="13">
        <f t="shared" si="15"/>
        <v>0</v>
      </c>
      <c r="P140" s="14">
        <f t="shared" si="16"/>
        <v>0</v>
      </c>
    </row>
    <row r="141" spans="8:16" x14ac:dyDescent="0.25">
      <c r="H141" s="6" t="s">
        <v>27</v>
      </c>
      <c r="I141" s="13">
        <f t="shared" si="13"/>
        <v>0</v>
      </c>
      <c r="J141" s="14">
        <f t="shared" si="14"/>
        <v>0</v>
      </c>
      <c r="K141" s="15" cm="1">
        <f t="array" ref="K141">AVERAGE(ABS($I$3:I141))</f>
        <v>15.201438848920864</v>
      </c>
      <c r="L141" s="15" cm="1">
        <f t="array" ref="L141">AVERAGE(ABS($J$3:J141))</f>
        <v>0.49208633093525184</v>
      </c>
      <c r="O141" s="13">
        <f t="shared" si="15"/>
        <v>0</v>
      </c>
      <c r="P141" s="14">
        <f t="shared" si="16"/>
        <v>0</v>
      </c>
    </row>
    <row r="142" spans="8:16" x14ac:dyDescent="0.25">
      <c r="H142" s="6" t="s">
        <v>27</v>
      </c>
      <c r="I142" s="13">
        <f t="shared" si="13"/>
        <v>0</v>
      </c>
      <c r="J142" s="14">
        <f t="shared" si="14"/>
        <v>0</v>
      </c>
      <c r="K142" s="15" cm="1">
        <f t="array" ref="K142">AVERAGE(ABS($I$3:I142))</f>
        <v>15.092857142857143</v>
      </c>
      <c r="L142" s="15" cm="1">
        <f t="array" ref="L142">AVERAGE(ABS($J$3:J142))</f>
        <v>0.4885714285714286</v>
      </c>
      <c r="O142" s="13">
        <f t="shared" si="15"/>
        <v>0</v>
      </c>
      <c r="P142" s="14">
        <f t="shared" si="16"/>
        <v>0</v>
      </c>
    </row>
    <row r="143" spans="8:16" x14ac:dyDescent="0.25">
      <c r="H143" s="6" t="s">
        <v>27</v>
      </c>
      <c r="I143" s="13">
        <f t="shared" si="13"/>
        <v>0</v>
      </c>
      <c r="J143" s="14">
        <f t="shared" si="14"/>
        <v>0</v>
      </c>
      <c r="K143" s="15" cm="1">
        <f t="array" ref="K143">AVERAGE(ABS($I$3:I143))</f>
        <v>14.98581560283688</v>
      </c>
      <c r="L143" s="15" cm="1">
        <f t="array" ref="L143">AVERAGE(ABS($J$3:J143))</f>
        <v>0.48510638297872344</v>
      </c>
      <c r="O143" s="13">
        <f t="shared" si="15"/>
        <v>0</v>
      </c>
      <c r="P143" s="14">
        <f t="shared" si="16"/>
        <v>0</v>
      </c>
    </row>
    <row r="144" spans="8:16" x14ac:dyDescent="0.25">
      <c r="H144" s="6" t="s">
        <v>27</v>
      </c>
      <c r="I144" s="13">
        <f t="shared" si="13"/>
        <v>0</v>
      </c>
      <c r="J144" s="14">
        <f t="shared" si="14"/>
        <v>0</v>
      </c>
      <c r="K144" s="15" cm="1">
        <f t="array" ref="K144">AVERAGE(ABS($I$3:I144))</f>
        <v>14.880281690140846</v>
      </c>
      <c r="L144" s="15" cm="1">
        <f t="array" ref="L144">AVERAGE(ABS($J$3:J144))</f>
        <v>0.48169014084507045</v>
      </c>
      <c r="O144" s="13">
        <f t="shared" si="15"/>
        <v>0</v>
      </c>
      <c r="P144" s="14">
        <f t="shared" si="16"/>
        <v>0</v>
      </c>
    </row>
    <row r="145" spans="8:16" x14ac:dyDescent="0.25">
      <c r="H145" s="6" t="s">
        <v>27</v>
      </c>
      <c r="I145" s="13">
        <f t="shared" si="13"/>
        <v>0</v>
      </c>
      <c r="J145" s="14">
        <f t="shared" si="14"/>
        <v>0</v>
      </c>
      <c r="K145" s="15" cm="1">
        <f t="array" ref="K145">AVERAGE(ABS($I$3:I145))</f>
        <v>14.776223776223777</v>
      </c>
      <c r="L145" s="15" cm="1">
        <f t="array" ref="L145">AVERAGE(ABS($J$3:J145))</f>
        <v>0.47832167832167838</v>
      </c>
      <c r="O145" s="13">
        <f t="shared" si="15"/>
        <v>0</v>
      </c>
      <c r="P145" s="14">
        <f t="shared" si="16"/>
        <v>0</v>
      </c>
    </row>
    <row r="146" spans="8:16" x14ac:dyDescent="0.25">
      <c r="H146" s="6" t="s">
        <v>27</v>
      </c>
      <c r="I146" s="13">
        <f t="shared" si="13"/>
        <v>0</v>
      </c>
      <c r="J146" s="14">
        <f t="shared" si="14"/>
        <v>0</v>
      </c>
      <c r="K146" s="15" cm="1">
        <f t="array" ref="K146">AVERAGE(ABS($I$3:I146))</f>
        <v>14.673611111111111</v>
      </c>
      <c r="L146" s="15" cm="1">
        <f t="array" ref="L146">AVERAGE(ABS($J$3:J146))</f>
        <v>0.47500000000000003</v>
      </c>
      <c r="O146" s="13">
        <f t="shared" si="15"/>
        <v>0</v>
      </c>
      <c r="P146" s="14">
        <f t="shared" si="16"/>
        <v>0</v>
      </c>
    </row>
    <row r="147" spans="8:16" x14ac:dyDescent="0.25">
      <c r="H147" s="6" t="s">
        <v>27</v>
      </c>
      <c r="I147" s="13">
        <f t="shared" si="13"/>
        <v>0</v>
      </c>
      <c r="J147" s="14">
        <f t="shared" si="14"/>
        <v>0</v>
      </c>
      <c r="K147" s="15" cm="1">
        <f t="array" ref="K147">AVERAGE(ABS($I$3:I147))</f>
        <v>14.572413793103449</v>
      </c>
      <c r="L147" s="15" cm="1">
        <f t="array" ref="L147">AVERAGE(ABS($J$3:J147))</f>
        <v>0.47172413793103452</v>
      </c>
      <c r="O147" s="13">
        <f t="shared" si="15"/>
        <v>0</v>
      </c>
      <c r="P147" s="14">
        <f t="shared" si="16"/>
        <v>0</v>
      </c>
    </row>
    <row r="148" spans="8:16" x14ac:dyDescent="0.25">
      <c r="H148" s="6" t="s">
        <v>27</v>
      </c>
      <c r="I148" s="13">
        <f t="shared" si="13"/>
        <v>0</v>
      </c>
      <c r="J148" s="14">
        <f t="shared" si="14"/>
        <v>0</v>
      </c>
      <c r="K148" s="15" cm="1">
        <f t="array" ref="K148">AVERAGE(ABS($I$3:I148))</f>
        <v>14.472602739726028</v>
      </c>
      <c r="L148" s="15" cm="1">
        <f t="array" ref="L148">AVERAGE(ABS($J$3:J148))</f>
        <v>0.46849315068493153</v>
      </c>
      <c r="O148" s="13">
        <f t="shared" si="15"/>
        <v>0</v>
      </c>
      <c r="P148" s="14">
        <f t="shared" si="16"/>
        <v>0</v>
      </c>
    </row>
    <row r="149" spans="8:16" x14ac:dyDescent="0.25">
      <c r="H149" s="6" t="s">
        <v>27</v>
      </c>
      <c r="I149" s="13">
        <f t="shared" si="13"/>
        <v>0</v>
      </c>
      <c r="J149" s="14">
        <f t="shared" si="14"/>
        <v>0</v>
      </c>
      <c r="K149" s="15" cm="1">
        <f t="array" ref="K149">AVERAGE(ABS($I$3:I149))</f>
        <v>14.374149659863946</v>
      </c>
      <c r="L149" s="15" cm="1">
        <f t="array" ref="L149">AVERAGE(ABS($J$3:J149))</f>
        <v>0.46530612244897962</v>
      </c>
      <c r="O149" s="13">
        <f t="shared" si="15"/>
        <v>0</v>
      </c>
      <c r="P149" s="14">
        <f t="shared" si="16"/>
        <v>0</v>
      </c>
    </row>
    <row r="150" spans="8:16" x14ac:dyDescent="0.25">
      <c r="H150" s="6" t="s">
        <v>27</v>
      </c>
      <c r="I150" s="13">
        <f t="shared" si="13"/>
        <v>0</v>
      </c>
      <c r="J150" s="14">
        <f t="shared" si="14"/>
        <v>0</v>
      </c>
      <c r="K150" s="15" cm="1">
        <f t="array" ref="K150">AVERAGE(ABS($I$3:I150))</f>
        <v>14.277027027027026</v>
      </c>
      <c r="L150" s="15" cm="1">
        <f t="array" ref="L150">AVERAGE(ABS($J$3:J150))</f>
        <v>0.46216216216216222</v>
      </c>
      <c r="O150" s="13">
        <f t="shared" si="15"/>
        <v>0</v>
      </c>
      <c r="P150" s="14">
        <f t="shared" si="16"/>
        <v>0</v>
      </c>
    </row>
    <row r="151" spans="8:16" x14ac:dyDescent="0.25">
      <c r="H151" s="6" t="s">
        <v>27</v>
      </c>
      <c r="I151" s="13">
        <f t="shared" si="13"/>
        <v>0</v>
      </c>
      <c r="J151" s="14">
        <f t="shared" si="14"/>
        <v>0</v>
      </c>
      <c r="K151" s="15" cm="1">
        <f t="array" ref="K151">AVERAGE(ABS($I$3:I151))</f>
        <v>14.181208053691275</v>
      </c>
      <c r="L151" s="15" cm="1">
        <f t="array" ref="L151">AVERAGE(ABS($J$3:J151))</f>
        <v>0.45906040268456377</v>
      </c>
      <c r="O151" s="13">
        <f t="shared" si="15"/>
        <v>0</v>
      </c>
      <c r="P151" s="14">
        <f t="shared" si="16"/>
        <v>0</v>
      </c>
    </row>
    <row r="152" spans="8:16" x14ac:dyDescent="0.25">
      <c r="H152" s="6" t="s">
        <v>27</v>
      </c>
      <c r="I152" s="13">
        <f t="shared" si="13"/>
        <v>0</v>
      </c>
      <c r="J152" s="14">
        <f t="shared" si="14"/>
        <v>0</v>
      </c>
      <c r="K152" s="15" cm="1">
        <f t="array" ref="K152">AVERAGE(ABS($I$3:I152))</f>
        <v>14.086666666666666</v>
      </c>
      <c r="L152" s="15" cm="1">
        <f t="array" ref="L152">AVERAGE(ABS($J$3:J152))</f>
        <v>0.45600000000000002</v>
      </c>
      <c r="O152" s="13">
        <f t="shared" si="15"/>
        <v>0</v>
      </c>
      <c r="P152" s="14">
        <f t="shared" si="16"/>
        <v>0</v>
      </c>
    </row>
    <row r="153" spans="8:16" x14ac:dyDescent="0.25">
      <c r="H153" s="6" t="s">
        <v>27</v>
      </c>
      <c r="I153" s="13">
        <f t="shared" si="13"/>
        <v>0</v>
      </c>
      <c r="J153" s="14">
        <f t="shared" si="14"/>
        <v>0</v>
      </c>
      <c r="K153" s="15" cm="1">
        <f t="array" ref="K153">AVERAGE(ABS($I$3:I153))</f>
        <v>13.993377483443709</v>
      </c>
      <c r="L153" s="15" cm="1">
        <f t="array" ref="L153">AVERAGE(ABS($J$3:J153))</f>
        <v>0.45298013245033114</v>
      </c>
      <c r="O153" s="13">
        <f t="shared" si="15"/>
        <v>0</v>
      </c>
      <c r="P153" s="14">
        <f t="shared" si="16"/>
        <v>0</v>
      </c>
    </row>
    <row r="154" spans="8:16" x14ac:dyDescent="0.25">
      <c r="H154" s="6" t="s">
        <v>27</v>
      </c>
      <c r="I154" s="13">
        <f t="shared" si="13"/>
        <v>0</v>
      </c>
      <c r="J154" s="14">
        <f t="shared" si="14"/>
        <v>0</v>
      </c>
      <c r="K154" s="15" cm="1">
        <f t="array" ref="K154">AVERAGE(ABS($I$3:I154))</f>
        <v>13.901315789473685</v>
      </c>
      <c r="L154" s="15" cm="1">
        <f t="array" ref="L154">AVERAGE(ABS($J$3:J154))</f>
        <v>0.45</v>
      </c>
      <c r="O154" s="13">
        <f t="shared" si="15"/>
        <v>0</v>
      </c>
      <c r="P154" s="14">
        <f t="shared" si="16"/>
        <v>0</v>
      </c>
    </row>
    <row r="155" spans="8:16" x14ac:dyDescent="0.25">
      <c r="H155" s="6" t="s">
        <v>27</v>
      </c>
      <c r="I155" s="13">
        <f t="shared" si="13"/>
        <v>0</v>
      </c>
      <c r="J155" s="14">
        <f t="shared" si="14"/>
        <v>0</v>
      </c>
      <c r="K155" s="15" cm="1">
        <f t="array" ref="K155">AVERAGE(ABS($I$3:I155))</f>
        <v>13.81045751633987</v>
      </c>
      <c r="L155" s="15" cm="1">
        <f t="array" ref="L155">AVERAGE(ABS($J$3:J155))</f>
        <v>0.44705882352941179</v>
      </c>
      <c r="O155" s="13">
        <f t="shared" si="15"/>
        <v>0</v>
      </c>
      <c r="P155" s="14">
        <f t="shared" si="16"/>
        <v>0</v>
      </c>
    </row>
    <row r="156" spans="8:16" x14ac:dyDescent="0.25">
      <c r="H156" s="6" t="s">
        <v>27</v>
      </c>
      <c r="I156" s="13">
        <f t="shared" si="13"/>
        <v>0</v>
      </c>
      <c r="J156" s="14">
        <f t="shared" si="14"/>
        <v>0</v>
      </c>
      <c r="K156" s="15" cm="1">
        <f t="array" ref="K156">AVERAGE(ABS($I$3:I156))</f>
        <v>13.720779220779221</v>
      </c>
      <c r="L156" s="15" cm="1">
        <f t="array" ref="L156">AVERAGE(ABS($J$3:J156))</f>
        <v>0.44415584415584419</v>
      </c>
      <c r="O156" s="13">
        <f t="shared" si="15"/>
        <v>0</v>
      </c>
      <c r="P156" s="14">
        <f t="shared" si="16"/>
        <v>0</v>
      </c>
    </row>
    <row r="157" spans="8:16" x14ac:dyDescent="0.25">
      <c r="H157" s="6" t="s">
        <v>27</v>
      </c>
      <c r="I157" s="13">
        <f t="shared" si="13"/>
        <v>0</v>
      </c>
      <c r="J157" s="14">
        <f t="shared" si="14"/>
        <v>0</v>
      </c>
      <c r="K157" s="15" cm="1">
        <f t="array" ref="K157">AVERAGE(ABS($I$3:I157))</f>
        <v>13.63225806451613</v>
      </c>
      <c r="L157" s="15" cm="1">
        <f t="array" ref="L157">AVERAGE(ABS($J$3:J157))</f>
        <v>0.44129032258064521</v>
      </c>
      <c r="O157" s="13">
        <f t="shared" si="15"/>
        <v>0</v>
      </c>
      <c r="P157" s="14">
        <f t="shared" si="16"/>
        <v>0</v>
      </c>
    </row>
    <row r="158" spans="8:16" x14ac:dyDescent="0.25">
      <c r="H158" s="6" t="s">
        <v>27</v>
      </c>
      <c r="I158" s="13">
        <f t="shared" si="13"/>
        <v>0</v>
      </c>
      <c r="J158" s="14">
        <f t="shared" si="14"/>
        <v>0</v>
      </c>
      <c r="K158" s="15" cm="1">
        <f t="array" ref="K158">AVERAGE(ABS($I$3:I158))</f>
        <v>13.544871794871796</v>
      </c>
      <c r="L158" s="15" cm="1">
        <f t="array" ref="L158">AVERAGE(ABS($J$3:J158))</f>
        <v>0.43846153846153851</v>
      </c>
      <c r="O158" s="13">
        <f t="shared" si="15"/>
        <v>0</v>
      </c>
      <c r="P158" s="14">
        <f t="shared" si="16"/>
        <v>0</v>
      </c>
    </row>
    <row r="159" spans="8:16" x14ac:dyDescent="0.25">
      <c r="H159" s="6" t="s">
        <v>27</v>
      </c>
      <c r="I159" s="13">
        <f t="shared" si="13"/>
        <v>0</v>
      </c>
      <c r="J159" s="14">
        <f t="shared" si="14"/>
        <v>0</v>
      </c>
      <c r="K159" s="15" cm="1">
        <f t="array" ref="K159">AVERAGE(ABS($I$3:I159))</f>
        <v>13.45859872611465</v>
      </c>
      <c r="L159" s="15" cm="1">
        <f t="array" ref="L159">AVERAGE(ABS($J$3:J159))</f>
        <v>0.43566878980891721</v>
      </c>
      <c r="O159" s="13">
        <f t="shared" si="15"/>
        <v>0</v>
      </c>
      <c r="P159" s="14">
        <f t="shared" si="16"/>
        <v>0</v>
      </c>
    </row>
    <row r="160" spans="8:16" x14ac:dyDescent="0.25">
      <c r="H160" s="6" t="s">
        <v>27</v>
      </c>
      <c r="I160" s="13">
        <f t="shared" si="13"/>
        <v>0</v>
      </c>
      <c r="J160" s="14">
        <f t="shared" si="14"/>
        <v>0</v>
      </c>
      <c r="K160" s="15" cm="1">
        <f t="array" ref="K160">AVERAGE(ABS($I$3:I160))</f>
        <v>13.373417721518987</v>
      </c>
      <c r="L160" s="15" cm="1">
        <f t="array" ref="L160">AVERAGE(ABS($J$3:J160))</f>
        <v>0.43291139240506332</v>
      </c>
      <c r="O160" s="13">
        <f t="shared" si="15"/>
        <v>0</v>
      </c>
      <c r="P160" s="14">
        <f t="shared" si="16"/>
        <v>0</v>
      </c>
    </row>
    <row r="161" spans="8:16" x14ac:dyDescent="0.25">
      <c r="H161" s="6" t="s">
        <v>27</v>
      </c>
      <c r="I161" s="13">
        <f t="shared" si="13"/>
        <v>0</v>
      </c>
      <c r="J161" s="14">
        <f t="shared" si="14"/>
        <v>0</v>
      </c>
      <c r="K161" s="15" cm="1">
        <f t="array" ref="K161">AVERAGE(ABS($I$3:I161))</f>
        <v>13.289308176100629</v>
      </c>
      <c r="L161" s="15" cm="1">
        <f t="array" ref="L161">AVERAGE(ABS($J$3:J161))</f>
        <v>0.43018867924528303</v>
      </c>
      <c r="O161" s="13">
        <f t="shared" si="15"/>
        <v>0</v>
      </c>
      <c r="P161" s="14">
        <f t="shared" si="16"/>
        <v>0</v>
      </c>
    </row>
    <row r="162" spans="8:16" x14ac:dyDescent="0.25">
      <c r="H162" s="6" t="s">
        <v>27</v>
      </c>
      <c r="I162" s="13">
        <f t="shared" si="13"/>
        <v>0</v>
      </c>
      <c r="J162" s="14">
        <f t="shared" si="14"/>
        <v>0</v>
      </c>
      <c r="K162" s="15" cm="1">
        <f t="array" ref="K162">AVERAGE(ABS($I$3:I162))</f>
        <v>13.206250000000001</v>
      </c>
      <c r="L162" s="15" cm="1">
        <f t="array" ref="L162">AVERAGE(ABS($J$3:J162))</f>
        <v>0.42750000000000005</v>
      </c>
      <c r="O162" s="13">
        <f t="shared" si="15"/>
        <v>0</v>
      </c>
      <c r="P162" s="14">
        <f t="shared" si="16"/>
        <v>0</v>
      </c>
    </row>
    <row r="163" spans="8:16" x14ac:dyDescent="0.25">
      <c r="H163" s="6" t="s">
        <v>27</v>
      </c>
      <c r="I163" s="13">
        <f t="shared" si="13"/>
        <v>0</v>
      </c>
      <c r="J163" s="14">
        <f t="shared" si="14"/>
        <v>0</v>
      </c>
      <c r="K163" s="15" cm="1">
        <f t="array" ref="K163">AVERAGE(ABS($I$3:I163))</f>
        <v>13.124223602484472</v>
      </c>
      <c r="L163" s="15" cm="1">
        <f t="array" ref="L163">AVERAGE(ABS($J$3:J163))</f>
        <v>0.42484472049689442</v>
      </c>
      <c r="O163" s="13">
        <f t="shared" si="15"/>
        <v>0</v>
      </c>
      <c r="P163" s="14">
        <f t="shared" si="16"/>
        <v>0</v>
      </c>
    </row>
    <row r="164" spans="8:16" x14ac:dyDescent="0.25">
      <c r="H164" s="6" t="s">
        <v>27</v>
      </c>
      <c r="I164" s="13">
        <f t="shared" si="13"/>
        <v>0</v>
      </c>
      <c r="J164" s="14">
        <f t="shared" si="14"/>
        <v>0</v>
      </c>
      <c r="K164" s="15" cm="1">
        <f t="array" ref="K164">AVERAGE(ABS($I$3:I164))</f>
        <v>13.043209876543211</v>
      </c>
      <c r="L164" s="15" cm="1">
        <f t="array" ref="L164">AVERAGE(ABS($J$3:J164))</f>
        <v>0.42222222222222228</v>
      </c>
      <c r="O164" s="13">
        <f t="shared" si="15"/>
        <v>0</v>
      </c>
      <c r="P164" s="14">
        <f t="shared" si="16"/>
        <v>0</v>
      </c>
    </row>
    <row r="165" spans="8:16" x14ac:dyDescent="0.25">
      <c r="H165" s="6" t="s">
        <v>27</v>
      </c>
      <c r="I165" s="13">
        <f t="shared" si="13"/>
        <v>0</v>
      </c>
      <c r="J165" s="14">
        <f t="shared" si="14"/>
        <v>0</v>
      </c>
      <c r="K165" s="15" cm="1">
        <f t="array" ref="K165">AVERAGE(ABS($I$3:I165))</f>
        <v>12.963190184049079</v>
      </c>
      <c r="L165" s="15" cm="1">
        <f t="array" ref="L165">AVERAGE(ABS($J$3:J165))</f>
        <v>0.41963190184049082</v>
      </c>
      <c r="O165" s="13">
        <f t="shared" si="15"/>
        <v>0</v>
      </c>
      <c r="P165" s="14">
        <f t="shared" si="16"/>
        <v>0</v>
      </c>
    </row>
    <row r="166" spans="8:16" x14ac:dyDescent="0.25">
      <c r="H166" s="6" t="s">
        <v>27</v>
      </c>
      <c r="I166" s="13">
        <f t="shared" si="13"/>
        <v>0</v>
      </c>
      <c r="J166" s="14">
        <f t="shared" si="14"/>
        <v>0</v>
      </c>
      <c r="K166" s="15" cm="1">
        <f t="array" ref="K166">AVERAGE(ABS($I$3:I166))</f>
        <v>12.884146341463415</v>
      </c>
      <c r="L166" s="15" cm="1">
        <f t="array" ref="L166">AVERAGE(ABS($J$3:J166))</f>
        <v>0.41707317073170735</v>
      </c>
      <c r="O166" s="13">
        <f t="shared" si="15"/>
        <v>0</v>
      </c>
      <c r="P166" s="14">
        <f t="shared" si="16"/>
        <v>0</v>
      </c>
    </row>
    <row r="167" spans="8:16" x14ac:dyDescent="0.25">
      <c r="H167" s="6" t="s">
        <v>27</v>
      </c>
      <c r="I167" s="13">
        <f t="shared" si="13"/>
        <v>0</v>
      </c>
      <c r="J167" s="14">
        <f t="shared" si="14"/>
        <v>0</v>
      </c>
      <c r="K167" s="15" cm="1">
        <f t="array" ref="K167">AVERAGE(ABS($I$3:I167))</f>
        <v>12.806060606060607</v>
      </c>
      <c r="L167" s="15" cm="1">
        <f t="array" ref="L167">AVERAGE(ABS($J$3:J167))</f>
        <v>0.41454545454545461</v>
      </c>
      <c r="O167" s="13">
        <f t="shared" si="15"/>
        <v>0</v>
      </c>
      <c r="P167" s="14">
        <f t="shared" si="16"/>
        <v>0</v>
      </c>
    </row>
    <row r="168" spans="8:16" x14ac:dyDescent="0.25">
      <c r="H168" s="6" t="s">
        <v>27</v>
      </c>
      <c r="I168" s="13">
        <f t="shared" si="13"/>
        <v>0</v>
      </c>
      <c r="J168" s="14">
        <f t="shared" si="14"/>
        <v>0</v>
      </c>
      <c r="K168" s="15" cm="1">
        <f t="array" ref="K168">AVERAGE(ABS($I$3:I168))</f>
        <v>12.728915662650602</v>
      </c>
      <c r="L168" s="15" cm="1">
        <f t="array" ref="L168">AVERAGE(ABS($J$3:J168))</f>
        <v>0.4120481927710844</v>
      </c>
      <c r="O168" s="13">
        <f t="shared" si="15"/>
        <v>0</v>
      </c>
      <c r="P168" s="14">
        <f t="shared" si="16"/>
        <v>0</v>
      </c>
    </row>
    <row r="169" spans="8:16" x14ac:dyDescent="0.25">
      <c r="H169" s="6" t="s">
        <v>27</v>
      </c>
      <c r="I169" s="13">
        <f t="shared" si="13"/>
        <v>0</v>
      </c>
      <c r="J169" s="14">
        <f t="shared" si="14"/>
        <v>0</v>
      </c>
      <c r="K169" s="15" cm="1">
        <f t="array" ref="K169">AVERAGE(ABS($I$3:I169))</f>
        <v>12.652694610778443</v>
      </c>
      <c r="L169" s="15" cm="1">
        <f t="array" ref="L169">AVERAGE(ABS($J$3:J169))</f>
        <v>0.40958083832335335</v>
      </c>
      <c r="O169" s="13">
        <f t="shared" si="15"/>
        <v>0</v>
      </c>
      <c r="P169" s="14">
        <f t="shared" si="16"/>
        <v>0</v>
      </c>
    </row>
    <row r="170" spans="8:16" x14ac:dyDescent="0.25">
      <c r="H170" s="6" t="s">
        <v>27</v>
      </c>
      <c r="I170" s="13">
        <f t="shared" si="13"/>
        <v>0</v>
      </c>
      <c r="J170" s="14">
        <f t="shared" si="14"/>
        <v>0</v>
      </c>
      <c r="K170" s="15" cm="1">
        <f t="array" ref="K170">AVERAGE(ABS($I$3:I170))</f>
        <v>12.577380952380953</v>
      </c>
      <c r="L170" s="15" cm="1">
        <f t="array" ref="L170">AVERAGE(ABS($J$3:J170))</f>
        <v>0.4071428571428572</v>
      </c>
      <c r="O170" s="13">
        <f t="shared" si="15"/>
        <v>0</v>
      </c>
      <c r="P170" s="14">
        <f t="shared" si="16"/>
        <v>0</v>
      </c>
    </row>
    <row r="171" spans="8:16" x14ac:dyDescent="0.25">
      <c r="H171" s="6" t="s">
        <v>27</v>
      </c>
      <c r="I171" s="13">
        <f t="shared" si="13"/>
        <v>0</v>
      </c>
      <c r="J171" s="14">
        <f t="shared" si="14"/>
        <v>0</v>
      </c>
      <c r="K171" s="15" cm="1">
        <f t="array" ref="K171">AVERAGE(ABS($I$3:I171))</f>
        <v>12.502958579881657</v>
      </c>
      <c r="L171" s="15" cm="1">
        <f t="array" ref="L171">AVERAGE(ABS($J$3:J171))</f>
        <v>0.40473372781065092</v>
      </c>
      <c r="O171" s="13">
        <f t="shared" si="15"/>
        <v>0</v>
      </c>
      <c r="P171" s="14">
        <f t="shared" si="16"/>
        <v>0</v>
      </c>
    </row>
    <row r="172" spans="8:16" x14ac:dyDescent="0.25">
      <c r="H172" s="6" t="s">
        <v>27</v>
      </c>
      <c r="I172" s="13">
        <f t="shared" si="13"/>
        <v>0</v>
      </c>
      <c r="J172" s="14">
        <f t="shared" si="14"/>
        <v>0</v>
      </c>
      <c r="K172" s="15" cm="1">
        <f t="array" ref="K172">AVERAGE(ABS($I$3:I172))</f>
        <v>12.429411764705883</v>
      </c>
      <c r="L172" s="15" cm="1">
        <f t="array" ref="L172">AVERAGE(ABS($J$3:J172))</f>
        <v>0.40235294117647064</v>
      </c>
      <c r="O172" s="13">
        <f t="shared" si="15"/>
        <v>0</v>
      </c>
      <c r="P172" s="14">
        <f t="shared" si="16"/>
        <v>0</v>
      </c>
    </row>
    <row r="173" spans="8:16" x14ac:dyDescent="0.25">
      <c r="H173" s="6" t="s">
        <v>27</v>
      </c>
      <c r="I173" s="13">
        <f t="shared" si="13"/>
        <v>0</v>
      </c>
      <c r="J173" s="14">
        <f t="shared" si="14"/>
        <v>0</v>
      </c>
      <c r="K173" s="15" cm="1">
        <f t="array" ref="K173">AVERAGE(ABS($I$3:I173))</f>
        <v>12.35672514619883</v>
      </c>
      <c r="L173" s="15" cm="1">
        <f t="array" ref="L173">AVERAGE(ABS($J$3:J173))</f>
        <v>0.4</v>
      </c>
      <c r="O173" s="13">
        <f t="shared" si="15"/>
        <v>0</v>
      </c>
      <c r="P173" s="14">
        <f t="shared" si="16"/>
        <v>0</v>
      </c>
    </row>
    <row r="174" spans="8:16" x14ac:dyDescent="0.25">
      <c r="H174" s="6" t="s">
        <v>27</v>
      </c>
      <c r="I174" s="13">
        <f t="shared" si="13"/>
        <v>0</v>
      </c>
      <c r="J174" s="14">
        <f t="shared" si="14"/>
        <v>0</v>
      </c>
      <c r="K174" s="15" cm="1">
        <f t="array" ref="K174">AVERAGE(ABS($I$3:I174))</f>
        <v>12.284883720930232</v>
      </c>
      <c r="L174" s="15" cm="1">
        <f t="array" ref="L174">AVERAGE(ABS($J$3:J174))</f>
        <v>0.39767441860465119</v>
      </c>
      <c r="O174" s="13">
        <f t="shared" si="15"/>
        <v>0</v>
      </c>
      <c r="P174" s="14">
        <f t="shared" si="16"/>
        <v>0</v>
      </c>
    </row>
    <row r="175" spans="8:16" x14ac:dyDescent="0.25">
      <c r="H175" s="6" t="s">
        <v>27</v>
      </c>
      <c r="I175" s="13">
        <f t="shared" si="13"/>
        <v>0</v>
      </c>
      <c r="J175" s="14">
        <f t="shared" si="14"/>
        <v>0</v>
      </c>
      <c r="K175" s="15" cm="1">
        <f t="array" ref="K175">AVERAGE(ABS($I$3:I175))</f>
        <v>12.213872832369942</v>
      </c>
      <c r="L175" s="15" cm="1">
        <f t="array" ref="L175">AVERAGE(ABS($J$3:J175))</f>
        <v>0.39537572254335263</v>
      </c>
      <c r="O175" s="13">
        <f t="shared" si="15"/>
        <v>0</v>
      </c>
      <c r="P175" s="14">
        <f t="shared" si="16"/>
        <v>0</v>
      </c>
    </row>
    <row r="176" spans="8:16" x14ac:dyDescent="0.25">
      <c r="H176" s="6" t="s">
        <v>27</v>
      </c>
      <c r="I176" s="13">
        <f t="shared" si="13"/>
        <v>0</v>
      </c>
      <c r="J176" s="14">
        <f t="shared" si="14"/>
        <v>0</v>
      </c>
      <c r="K176" s="15" cm="1">
        <f t="array" ref="K176">AVERAGE(ABS($I$3:I176))</f>
        <v>12.14367816091954</v>
      </c>
      <c r="L176" s="15" cm="1">
        <f t="array" ref="L176">AVERAGE(ABS($J$3:J176))</f>
        <v>0.39310344827586208</v>
      </c>
      <c r="O176" s="13">
        <f t="shared" si="15"/>
        <v>0</v>
      </c>
      <c r="P176" s="14">
        <f t="shared" si="16"/>
        <v>0</v>
      </c>
    </row>
    <row r="177" spans="8:16" x14ac:dyDescent="0.25">
      <c r="H177" s="6" t="s">
        <v>27</v>
      </c>
      <c r="I177" s="13">
        <f t="shared" si="13"/>
        <v>0</v>
      </c>
      <c r="J177" s="14">
        <f t="shared" si="14"/>
        <v>0</v>
      </c>
      <c r="K177" s="15" cm="1">
        <f t="array" ref="K177">AVERAGE(ABS($I$3:I177))</f>
        <v>12.074285714285715</v>
      </c>
      <c r="L177" s="15" cm="1">
        <f t="array" ref="L177">AVERAGE(ABS($J$3:J177))</f>
        <v>0.3908571428571429</v>
      </c>
      <c r="O177" s="13">
        <f t="shared" si="15"/>
        <v>0</v>
      </c>
      <c r="P177" s="14">
        <f t="shared" si="16"/>
        <v>0</v>
      </c>
    </row>
    <row r="178" spans="8:16" x14ac:dyDescent="0.25">
      <c r="H178" s="6" t="s">
        <v>27</v>
      </c>
      <c r="I178" s="13">
        <f t="shared" si="13"/>
        <v>0</v>
      </c>
      <c r="J178" s="14">
        <f t="shared" si="14"/>
        <v>0</v>
      </c>
      <c r="K178" s="15" cm="1">
        <f t="array" ref="K178">AVERAGE(ABS($I$3:I178))</f>
        <v>12.005681818181818</v>
      </c>
      <c r="L178" s="15" cm="1">
        <f t="array" ref="L178">AVERAGE(ABS($J$3:J178))</f>
        <v>0.38863636363636367</v>
      </c>
      <c r="O178" s="13">
        <f t="shared" si="15"/>
        <v>0</v>
      </c>
      <c r="P178" s="14">
        <f t="shared" si="16"/>
        <v>0</v>
      </c>
    </row>
    <row r="179" spans="8:16" x14ac:dyDescent="0.25">
      <c r="H179" s="6" t="s">
        <v>27</v>
      </c>
      <c r="I179" s="13">
        <f t="shared" si="13"/>
        <v>0</v>
      </c>
      <c r="J179" s="14">
        <f t="shared" si="14"/>
        <v>0</v>
      </c>
      <c r="K179" s="15" cm="1">
        <f t="array" ref="K179">AVERAGE(ABS($I$3:I179))</f>
        <v>11.937853107344633</v>
      </c>
      <c r="L179" s="15" cm="1">
        <f t="array" ref="L179">AVERAGE(ABS($J$3:J179))</f>
        <v>0.38644067796610171</v>
      </c>
      <c r="O179" s="13">
        <f t="shared" si="15"/>
        <v>0</v>
      </c>
      <c r="P179" s="14">
        <f t="shared" si="16"/>
        <v>0</v>
      </c>
    </row>
    <row r="180" spans="8:16" x14ac:dyDescent="0.25">
      <c r="H180" s="6" t="s">
        <v>27</v>
      </c>
      <c r="I180" s="13">
        <f t="shared" si="13"/>
        <v>0</v>
      </c>
      <c r="J180" s="14">
        <f t="shared" si="14"/>
        <v>0</v>
      </c>
      <c r="K180" s="15" cm="1">
        <f t="array" ref="K180">AVERAGE(ABS($I$3:I180))</f>
        <v>11.870786516853933</v>
      </c>
      <c r="L180" s="15" cm="1">
        <f t="array" ref="L180">AVERAGE(ABS($J$3:J180))</f>
        <v>0.38426966292134834</v>
      </c>
      <c r="O180" s="13">
        <f t="shared" si="15"/>
        <v>0</v>
      </c>
      <c r="P180" s="14">
        <f t="shared" si="16"/>
        <v>0</v>
      </c>
    </row>
    <row r="181" spans="8:16" x14ac:dyDescent="0.25">
      <c r="H181" s="6" t="s">
        <v>27</v>
      </c>
      <c r="I181" s="13">
        <f t="shared" si="13"/>
        <v>0</v>
      </c>
      <c r="J181" s="14">
        <f t="shared" si="14"/>
        <v>0</v>
      </c>
      <c r="K181" s="15" cm="1">
        <f t="array" ref="K181">AVERAGE(ABS($I$3:I181))</f>
        <v>11.804469273743017</v>
      </c>
      <c r="L181" s="15" cm="1">
        <f t="array" ref="L181">AVERAGE(ABS($J$3:J181))</f>
        <v>0.382122905027933</v>
      </c>
      <c r="O181" s="13">
        <f t="shared" si="15"/>
        <v>0</v>
      </c>
      <c r="P181" s="14">
        <f t="shared" si="16"/>
        <v>0</v>
      </c>
    </row>
    <row r="182" spans="8:16" x14ac:dyDescent="0.25">
      <c r="H182" s="6" t="s">
        <v>27</v>
      </c>
      <c r="I182" s="13">
        <f t="shared" si="13"/>
        <v>0</v>
      </c>
      <c r="J182" s="14">
        <f t="shared" si="14"/>
        <v>0</v>
      </c>
      <c r="K182" s="15" cm="1">
        <f t="array" ref="K182">AVERAGE(ABS($I$3:I182))</f>
        <v>11.738888888888889</v>
      </c>
      <c r="L182" s="15" cm="1">
        <f t="array" ref="L182">AVERAGE(ABS($J$3:J182))</f>
        <v>0.38</v>
      </c>
      <c r="O182" s="13">
        <f t="shared" si="15"/>
        <v>0</v>
      </c>
      <c r="P182" s="14">
        <f t="shared" si="16"/>
        <v>0</v>
      </c>
    </row>
    <row r="183" spans="8:16" x14ac:dyDescent="0.25">
      <c r="H183" s="6" t="s">
        <v>27</v>
      </c>
      <c r="I183" s="13">
        <f t="shared" si="13"/>
        <v>0</v>
      </c>
      <c r="J183" s="14">
        <f t="shared" si="14"/>
        <v>0</v>
      </c>
      <c r="K183" s="15" cm="1">
        <f t="array" ref="K183">AVERAGE(ABS($I$3:I183))</f>
        <v>11.674033149171271</v>
      </c>
      <c r="L183" s="15" cm="1">
        <f t="array" ref="L183">AVERAGE(ABS($J$3:J183))</f>
        <v>0.37790055248618787</v>
      </c>
      <c r="O183" s="13">
        <f t="shared" si="15"/>
        <v>0</v>
      </c>
      <c r="P183" s="14">
        <f t="shared" si="16"/>
        <v>0</v>
      </c>
    </row>
    <row r="184" spans="8:16" x14ac:dyDescent="0.25">
      <c r="H184" s="6" t="s">
        <v>27</v>
      </c>
      <c r="I184" s="13">
        <f t="shared" si="13"/>
        <v>0</v>
      </c>
      <c r="J184" s="14">
        <f t="shared" si="14"/>
        <v>0</v>
      </c>
      <c r="K184" s="15" cm="1">
        <f t="array" ref="K184">AVERAGE(ABS($I$3:I184))</f>
        <v>11.609890109890109</v>
      </c>
      <c r="L184" s="15" cm="1">
        <f t="array" ref="L184">AVERAGE(ABS($J$3:J184))</f>
        <v>0.37582417582417588</v>
      </c>
      <c r="O184" s="13">
        <f t="shared" si="15"/>
        <v>0</v>
      </c>
      <c r="P184" s="14">
        <f t="shared" si="16"/>
        <v>0</v>
      </c>
    </row>
    <row r="185" spans="8:16" x14ac:dyDescent="0.25">
      <c r="H185" s="6" t="s">
        <v>27</v>
      </c>
      <c r="I185" s="13">
        <f t="shared" si="13"/>
        <v>0</v>
      </c>
      <c r="J185" s="14">
        <f t="shared" si="14"/>
        <v>0</v>
      </c>
      <c r="K185" s="15" cm="1">
        <f t="array" ref="K185">AVERAGE(ABS($I$3:I185))</f>
        <v>11.546448087431694</v>
      </c>
      <c r="L185" s="15" cm="1">
        <f t="array" ref="L185">AVERAGE(ABS($J$3:J185))</f>
        <v>0.3737704918032787</v>
      </c>
      <c r="O185" s="13">
        <f t="shared" si="15"/>
        <v>0</v>
      </c>
      <c r="P185" s="14">
        <f t="shared" si="16"/>
        <v>0</v>
      </c>
    </row>
    <row r="186" spans="8:16" x14ac:dyDescent="0.25">
      <c r="H186" s="6" t="s">
        <v>27</v>
      </c>
      <c r="I186" s="13">
        <f t="shared" si="13"/>
        <v>0</v>
      </c>
      <c r="J186" s="14">
        <f t="shared" si="14"/>
        <v>0</v>
      </c>
      <c r="K186" s="15" cm="1">
        <f t="array" ref="K186">AVERAGE(ABS($I$3:I186))</f>
        <v>11.483695652173912</v>
      </c>
      <c r="L186" s="15" cm="1">
        <f t="array" ref="L186">AVERAGE(ABS($J$3:J186))</f>
        <v>0.37173913043478263</v>
      </c>
      <c r="O186" s="13">
        <f t="shared" si="15"/>
        <v>0</v>
      </c>
      <c r="P186" s="14">
        <f t="shared" si="16"/>
        <v>0</v>
      </c>
    </row>
    <row r="187" spans="8:16" x14ac:dyDescent="0.25">
      <c r="H187" s="6" t="s">
        <v>27</v>
      </c>
      <c r="I187" s="13">
        <f t="shared" si="13"/>
        <v>0</v>
      </c>
      <c r="J187" s="14">
        <f t="shared" si="14"/>
        <v>0</v>
      </c>
      <c r="K187" s="15" cm="1">
        <f t="array" ref="K187">AVERAGE(ABS($I$3:I187))</f>
        <v>11.421621621621622</v>
      </c>
      <c r="L187" s="15" cm="1">
        <f t="array" ref="L187">AVERAGE(ABS($J$3:J187))</f>
        <v>0.36972972972972978</v>
      </c>
      <c r="O187" s="13">
        <f t="shared" si="15"/>
        <v>0</v>
      </c>
      <c r="P187" s="14">
        <f t="shared" si="16"/>
        <v>0</v>
      </c>
    </row>
    <row r="188" spans="8:16" x14ac:dyDescent="0.25">
      <c r="H188" s="6" t="s">
        <v>27</v>
      </c>
      <c r="I188" s="13">
        <f t="shared" si="13"/>
        <v>0</v>
      </c>
      <c r="J188" s="14">
        <f t="shared" si="14"/>
        <v>0</v>
      </c>
      <c r="K188" s="15" cm="1">
        <f t="array" ref="K188">AVERAGE(ABS($I$3:I188))</f>
        <v>11.36021505376344</v>
      </c>
      <c r="L188" s="15" cm="1">
        <f t="array" ref="L188">AVERAGE(ABS($J$3:J188))</f>
        <v>0.36774193548387102</v>
      </c>
      <c r="O188" s="13">
        <f t="shared" si="15"/>
        <v>0</v>
      </c>
      <c r="P188" s="14">
        <f t="shared" si="16"/>
        <v>0</v>
      </c>
    </row>
    <row r="189" spans="8:16" x14ac:dyDescent="0.25">
      <c r="H189" s="6" t="s">
        <v>27</v>
      </c>
      <c r="I189" s="13">
        <f t="shared" si="13"/>
        <v>0</v>
      </c>
      <c r="J189" s="14">
        <f t="shared" si="14"/>
        <v>0</v>
      </c>
      <c r="K189" s="15" cm="1">
        <f t="array" ref="K189">AVERAGE(ABS($I$3:I189))</f>
        <v>11.299465240641711</v>
      </c>
      <c r="L189" s="15" cm="1">
        <f t="array" ref="L189">AVERAGE(ABS($J$3:J189))</f>
        <v>0.36577540106951872</v>
      </c>
      <c r="O189" s="13">
        <f t="shared" si="15"/>
        <v>0</v>
      </c>
      <c r="P189" s="14">
        <f t="shared" si="16"/>
        <v>0</v>
      </c>
    </row>
    <row r="190" spans="8:16" x14ac:dyDescent="0.25">
      <c r="H190" s="6" t="s">
        <v>27</v>
      </c>
      <c r="I190" s="13">
        <f t="shared" si="13"/>
        <v>0</v>
      </c>
      <c r="J190" s="14">
        <f t="shared" si="14"/>
        <v>0</v>
      </c>
      <c r="K190" s="15" cm="1">
        <f t="array" ref="K190">AVERAGE(ABS($I$3:I190))</f>
        <v>11.23936170212766</v>
      </c>
      <c r="L190" s="15" cm="1">
        <f t="array" ref="L190">AVERAGE(ABS($J$3:J190))</f>
        <v>0.36382978723404258</v>
      </c>
      <c r="O190" s="13">
        <f t="shared" si="15"/>
        <v>0</v>
      </c>
      <c r="P190" s="14">
        <f t="shared" si="16"/>
        <v>0</v>
      </c>
    </row>
    <row r="191" spans="8:16" x14ac:dyDescent="0.25">
      <c r="H191" s="6" t="s">
        <v>27</v>
      </c>
      <c r="I191" s="13">
        <f t="shared" si="13"/>
        <v>0</v>
      </c>
      <c r="J191" s="14">
        <f t="shared" si="14"/>
        <v>0</v>
      </c>
      <c r="K191" s="15" cm="1">
        <f t="array" ref="K191">AVERAGE(ABS($I$3:I191))</f>
        <v>11.17989417989418</v>
      </c>
      <c r="L191" s="15" cm="1">
        <f t="array" ref="L191">AVERAGE(ABS($J$3:J191))</f>
        <v>0.36190476190476195</v>
      </c>
      <c r="O191" s="13">
        <f t="shared" si="15"/>
        <v>0</v>
      </c>
      <c r="P191" s="14">
        <f t="shared" si="16"/>
        <v>0</v>
      </c>
    </row>
    <row r="192" spans="8:16" x14ac:dyDescent="0.25">
      <c r="H192" s="6" t="s">
        <v>27</v>
      </c>
      <c r="I192" s="13">
        <f t="shared" si="13"/>
        <v>0</v>
      </c>
      <c r="J192" s="14">
        <f t="shared" si="14"/>
        <v>0</v>
      </c>
      <c r="K192" s="15" cm="1">
        <f t="array" ref="K192">AVERAGE(ABS($I$3:I192))</f>
        <v>11.121052631578948</v>
      </c>
      <c r="L192" s="15" cm="1">
        <f t="array" ref="L192">AVERAGE(ABS($J$3:J192))</f>
        <v>0.36000000000000004</v>
      </c>
      <c r="O192" s="13">
        <f t="shared" si="15"/>
        <v>0</v>
      </c>
      <c r="P192" s="14">
        <f t="shared" si="16"/>
        <v>0</v>
      </c>
    </row>
    <row r="193" spans="8:16" x14ac:dyDescent="0.25">
      <c r="H193" s="6" t="s">
        <v>27</v>
      </c>
      <c r="I193" s="13">
        <f t="shared" si="13"/>
        <v>0</v>
      </c>
      <c r="J193" s="14">
        <f t="shared" si="14"/>
        <v>0</v>
      </c>
      <c r="K193" s="15" cm="1">
        <f t="array" ref="K193">AVERAGE(ABS($I$3:I193))</f>
        <v>11.06282722513089</v>
      </c>
      <c r="L193" s="15" cm="1">
        <f t="array" ref="L193">AVERAGE(ABS($J$3:J193))</f>
        <v>0.35811518324607333</v>
      </c>
      <c r="O193" s="13">
        <f t="shared" si="15"/>
        <v>0</v>
      </c>
      <c r="P193" s="14">
        <f t="shared" si="16"/>
        <v>0</v>
      </c>
    </row>
    <row r="194" spans="8:16" x14ac:dyDescent="0.25">
      <c r="H194" s="6" t="s">
        <v>27</v>
      </c>
      <c r="I194" s="13">
        <f t="shared" si="13"/>
        <v>0</v>
      </c>
      <c r="J194" s="14">
        <f t="shared" si="14"/>
        <v>0</v>
      </c>
      <c r="K194" s="15" cm="1">
        <f t="array" ref="K194">AVERAGE(ABS($I$3:I194))</f>
        <v>11.005208333333334</v>
      </c>
      <c r="L194" s="15" cm="1">
        <f t="array" ref="L194">AVERAGE(ABS($J$3:J194))</f>
        <v>0.35625000000000001</v>
      </c>
      <c r="O194" s="13">
        <f t="shared" si="15"/>
        <v>0</v>
      </c>
      <c r="P194" s="14">
        <f t="shared" si="16"/>
        <v>0</v>
      </c>
    </row>
    <row r="195" spans="8:16" x14ac:dyDescent="0.25">
      <c r="H195" s="6" t="s">
        <v>27</v>
      </c>
      <c r="I195" s="13">
        <f t="shared" si="13"/>
        <v>0</v>
      </c>
      <c r="J195" s="14">
        <f t="shared" si="14"/>
        <v>0</v>
      </c>
      <c r="K195" s="15" cm="1">
        <f t="array" ref="K195">AVERAGE(ABS($I$3:I195))</f>
        <v>10.948186528497409</v>
      </c>
      <c r="L195" s="15" cm="1">
        <f t="array" ref="L195">AVERAGE(ABS($J$3:J195))</f>
        <v>0.35440414507772022</v>
      </c>
      <c r="O195" s="13">
        <f t="shared" si="15"/>
        <v>0</v>
      </c>
      <c r="P195" s="14">
        <f t="shared" si="16"/>
        <v>0</v>
      </c>
    </row>
    <row r="196" spans="8:16" x14ac:dyDescent="0.25">
      <c r="H196" s="6" t="s">
        <v>27</v>
      </c>
      <c r="I196" s="13">
        <f t="shared" ref="I196:I259" si="17">(E196-D196)</f>
        <v>0</v>
      </c>
      <c r="J196" s="14">
        <f t="shared" ref="J196:J259" si="18">(G196-F196)</f>
        <v>0</v>
      </c>
      <c r="K196" s="15" cm="1">
        <f t="array" ref="K196">AVERAGE(ABS($I$3:I196))</f>
        <v>10.891752577319588</v>
      </c>
      <c r="L196" s="15" cm="1">
        <f t="array" ref="L196">AVERAGE(ABS($J$3:J196))</f>
        <v>0.35257731958762889</v>
      </c>
      <c r="O196" s="13">
        <f t="shared" ref="O196:O259" si="19">(M196-D196)</f>
        <v>0</v>
      </c>
      <c r="P196" s="14">
        <f t="shared" ref="P196:P259" si="20">(N196-F196)</f>
        <v>0</v>
      </c>
    </row>
    <row r="197" spans="8:16" x14ac:dyDescent="0.25">
      <c r="H197" s="6" t="s">
        <v>27</v>
      </c>
      <c r="I197" s="13">
        <f t="shared" si="17"/>
        <v>0</v>
      </c>
      <c r="J197" s="14">
        <f t="shared" si="18"/>
        <v>0</v>
      </c>
      <c r="K197" s="15" cm="1">
        <f t="array" ref="K197">AVERAGE(ABS($I$3:I197))</f>
        <v>10.835897435897436</v>
      </c>
      <c r="L197" s="15" cm="1">
        <f t="array" ref="L197">AVERAGE(ABS($J$3:J197))</f>
        <v>0.35076923076923078</v>
      </c>
      <c r="O197" s="13">
        <f t="shared" si="19"/>
        <v>0</v>
      </c>
      <c r="P197" s="14">
        <f t="shared" si="20"/>
        <v>0</v>
      </c>
    </row>
    <row r="198" spans="8:16" x14ac:dyDescent="0.25">
      <c r="H198" s="6" t="s">
        <v>27</v>
      </c>
      <c r="I198" s="13">
        <f t="shared" si="17"/>
        <v>0</v>
      </c>
      <c r="J198" s="14">
        <f t="shared" si="18"/>
        <v>0</v>
      </c>
      <c r="K198" s="15" cm="1">
        <f t="array" ref="K198">AVERAGE(ABS($I$3:I198))</f>
        <v>10.780612244897959</v>
      </c>
      <c r="L198" s="15" cm="1">
        <f t="array" ref="L198">AVERAGE(ABS($J$3:J198))</f>
        <v>0.34897959183673471</v>
      </c>
      <c r="O198" s="13">
        <f t="shared" si="19"/>
        <v>0</v>
      </c>
      <c r="P198" s="14">
        <f t="shared" si="20"/>
        <v>0</v>
      </c>
    </row>
    <row r="199" spans="8:16" x14ac:dyDescent="0.25">
      <c r="H199" s="6" t="s">
        <v>27</v>
      </c>
      <c r="I199" s="13">
        <f t="shared" si="17"/>
        <v>0</v>
      </c>
      <c r="J199" s="14">
        <f t="shared" si="18"/>
        <v>0</v>
      </c>
      <c r="K199" s="15" cm="1">
        <f t="array" ref="K199">AVERAGE(ABS($I$3:I199))</f>
        <v>10.725888324873097</v>
      </c>
      <c r="L199" s="15" cm="1">
        <f t="array" ref="L199">AVERAGE(ABS($J$3:J199))</f>
        <v>0.34720812182741118</v>
      </c>
      <c r="O199" s="13">
        <f t="shared" si="19"/>
        <v>0</v>
      </c>
      <c r="P199" s="14">
        <f t="shared" si="20"/>
        <v>0</v>
      </c>
    </row>
    <row r="200" spans="8:16" x14ac:dyDescent="0.25">
      <c r="H200" s="6" t="s">
        <v>27</v>
      </c>
      <c r="I200" s="13">
        <f t="shared" si="17"/>
        <v>0</v>
      </c>
      <c r="J200" s="14">
        <f t="shared" si="18"/>
        <v>0</v>
      </c>
      <c r="K200" s="15" cm="1">
        <f t="array" ref="K200">AVERAGE(ABS($I$3:I200))</f>
        <v>10.671717171717171</v>
      </c>
      <c r="L200" s="15" cm="1">
        <f t="array" ref="L200">AVERAGE(ABS($J$3:J200))</f>
        <v>0.34545454545454546</v>
      </c>
      <c r="O200" s="13">
        <f t="shared" si="19"/>
        <v>0</v>
      </c>
      <c r="P200" s="14">
        <f t="shared" si="20"/>
        <v>0</v>
      </c>
    </row>
    <row r="201" spans="8:16" x14ac:dyDescent="0.25">
      <c r="H201" s="6" t="s">
        <v>27</v>
      </c>
      <c r="I201" s="13">
        <f t="shared" si="17"/>
        <v>0</v>
      </c>
      <c r="J201" s="14">
        <f t="shared" si="18"/>
        <v>0</v>
      </c>
      <c r="K201" s="15" cm="1">
        <f t="array" ref="K201">AVERAGE(ABS($I$3:I201))</f>
        <v>10.618090452261306</v>
      </c>
      <c r="L201" s="15" cm="1">
        <f t="array" ref="L201">AVERAGE(ABS($J$3:J201))</f>
        <v>0.34371859296482415</v>
      </c>
      <c r="O201" s="13">
        <f t="shared" si="19"/>
        <v>0</v>
      </c>
      <c r="P201" s="14">
        <f t="shared" si="20"/>
        <v>0</v>
      </c>
    </row>
    <row r="202" spans="8:16" x14ac:dyDescent="0.25">
      <c r="H202" s="6" t="s">
        <v>27</v>
      </c>
      <c r="I202" s="13">
        <f t="shared" si="17"/>
        <v>0</v>
      </c>
      <c r="J202" s="14">
        <f t="shared" si="18"/>
        <v>0</v>
      </c>
      <c r="K202" s="15" cm="1">
        <f t="array" ref="K202">AVERAGE(ABS($I$3:I202))</f>
        <v>10.565</v>
      </c>
      <c r="L202" s="15" cm="1">
        <f t="array" ref="L202">AVERAGE(ABS($J$3:J202))</f>
        <v>0.34200000000000003</v>
      </c>
      <c r="O202" s="13">
        <f t="shared" si="19"/>
        <v>0</v>
      </c>
      <c r="P202" s="14">
        <f t="shared" si="20"/>
        <v>0</v>
      </c>
    </row>
    <row r="203" spans="8:16" x14ac:dyDescent="0.25">
      <c r="H203" s="6" t="s">
        <v>27</v>
      </c>
      <c r="I203" s="13">
        <f t="shared" si="17"/>
        <v>0</v>
      </c>
      <c r="J203" s="14">
        <f t="shared" si="18"/>
        <v>0</v>
      </c>
      <c r="K203" s="15" cm="1">
        <f t="array" ref="K203">AVERAGE(ABS($I$3:I203))</f>
        <v>10.512437810945274</v>
      </c>
      <c r="L203" s="15" cm="1">
        <f t="array" ref="L203">AVERAGE(ABS($J$3:J203))</f>
        <v>0.34029850746268658</v>
      </c>
      <c r="O203" s="13">
        <f t="shared" si="19"/>
        <v>0</v>
      </c>
      <c r="P203" s="14">
        <f t="shared" si="20"/>
        <v>0</v>
      </c>
    </row>
    <row r="204" spans="8:16" x14ac:dyDescent="0.25">
      <c r="H204" s="6" t="s">
        <v>27</v>
      </c>
      <c r="I204" s="13">
        <f t="shared" si="17"/>
        <v>0</v>
      </c>
      <c r="J204" s="14">
        <f t="shared" si="18"/>
        <v>0</v>
      </c>
      <c r="K204" s="15" cm="1">
        <f t="array" ref="K204">AVERAGE(ABS($I$3:I204))</f>
        <v>10.46039603960396</v>
      </c>
      <c r="L204" s="15" cm="1">
        <f t="array" ref="L204">AVERAGE(ABS($J$3:J204))</f>
        <v>0.33861386138613864</v>
      </c>
      <c r="O204" s="13">
        <f t="shared" si="19"/>
        <v>0</v>
      </c>
      <c r="P204" s="14">
        <f t="shared" si="20"/>
        <v>0</v>
      </c>
    </row>
    <row r="205" spans="8:16" x14ac:dyDescent="0.25">
      <c r="H205" s="6" t="s">
        <v>27</v>
      </c>
      <c r="I205" s="13">
        <f t="shared" si="17"/>
        <v>0</v>
      </c>
      <c r="J205" s="14">
        <f t="shared" si="18"/>
        <v>0</v>
      </c>
      <c r="K205" s="15" cm="1">
        <f t="array" ref="K205">AVERAGE(ABS($I$3:I205))</f>
        <v>10.408866995073891</v>
      </c>
      <c r="L205" s="15" cm="1">
        <f t="array" ref="L205">AVERAGE(ABS($J$3:J205))</f>
        <v>0.33694581280788183</v>
      </c>
      <c r="O205" s="13">
        <f t="shared" si="19"/>
        <v>0</v>
      </c>
      <c r="P205" s="14">
        <f t="shared" si="20"/>
        <v>0</v>
      </c>
    </row>
    <row r="206" spans="8:16" x14ac:dyDescent="0.25">
      <c r="H206" s="6" t="s">
        <v>27</v>
      </c>
      <c r="I206" s="13">
        <f t="shared" si="17"/>
        <v>0</v>
      </c>
      <c r="J206" s="14">
        <f t="shared" si="18"/>
        <v>0</v>
      </c>
      <c r="K206" s="15" cm="1">
        <f t="array" ref="K206">AVERAGE(ABS($I$3:I206))</f>
        <v>10.357843137254902</v>
      </c>
      <c r="L206" s="15" cm="1">
        <f t="array" ref="L206">AVERAGE(ABS($J$3:J206))</f>
        <v>0.33529411764705885</v>
      </c>
      <c r="O206" s="13">
        <f t="shared" si="19"/>
        <v>0</v>
      </c>
      <c r="P206" s="14">
        <f t="shared" si="20"/>
        <v>0</v>
      </c>
    </row>
    <row r="207" spans="8:16" x14ac:dyDescent="0.25">
      <c r="H207" s="6" t="s">
        <v>27</v>
      </c>
      <c r="I207" s="13">
        <f t="shared" si="17"/>
        <v>0</v>
      </c>
      <c r="J207" s="14">
        <f t="shared" si="18"/>
        <v>0</v>
      </c>
      <c r="K207" s="15" cm="1">
        <f t="array" ref="K207">AVERAGE(ABS($I$3:I207))</f>
        <v>10.307317073170731</v>
      </c>
      <c r="L207" s="15" cm="1">
        <f t="array" ref="L207">AVERAGE(ABS($J$3:J207))</f>
        <v>0.33365853658536587</v>
      </c>
      <c r="O207" s="13">
        <f t="shared" si="19"/>
        <v>0</v>
      </c>
      <c r="P207" s="14">
        <f t="shared" si="20"/>
        <v>0</v>
      </c>
    </row>
    <row r="208" spans="8:16" x14ac:dyDescent="0.25">
      <c r="H208" s="6" t="s">
        <v>27</v>
      </c>
      <c r="I208" s="13">
        <f t="shared" si="17"/>
        <v>0</v>
      </c>
      <c r="J208" s="14">
        <f t="shared" si="18"/>
        <v>0</v>
      </c>
      <c r="K208" s="15" cm="1">
        <f t="array" ref="K208">AVERAGE(ABS($I$3:I208))</f>
        <v>10.257281553398059</v>
      </c>
      <c r="L208" s="15" cm="1">
        <f t="array" ref="L208">AVERAGE(ABS($J$3:J208))</f>
        <v>0.33203883495145636</v>
      </c>
      <c r="O208" s="13">
        <f t="shared" si="19"/>
        <v>0</v>
      </c>
      <c r="P208" s="14">
        <f t="shared" si="20"/>
        <v>0</v>
      </c>
    </row>
    <row r="209" spans="8:16" x14ac:dyDescent="0.25">
      <c r="H209" s="6" t="s">
        <v>27</v>
      </c>
      <c r="I209" s="13">
        <f t="shared" si="17"/>
        <v>0</v>
      </c>
      <c r="J209" s="14">
        <f t="shared" si="18"/>
        <v>0</v>
      </c>
      <c r="K209" s="15" cm="1">
        <f t="array" ref="K209">AVERAGE(ABS($I$3:I209))</f>
        <v>10.207729468599034</v>
      </c>
      <c r="L209" s="15" cm="1">
        <f t="array" ref="L209">AVERAGE(ABS($J$3:J209))</f>
        <v>0.33043478260869569</v>
      </c>
      <c r="O209" s="13">
        <f t="shared" si="19"/>
        <v>0</v>
      </c>
      <c r="P209" s="14">
        <f t="shared" si="20"/>
        <v>0</v>
      </c>
    </row>
    <row r="210" spans="8:16" x14ac:dyDescent="0.25">
      <c r="H210" s="6" t="s">
        <v>27</v>
      </c>
      <c r="I210" s="13">
        <f t="shared" si="17"/>
        <v>0</v>
      </c>
      <c r="J210" s="14">
        <f t="shared" si="18"/>
        <v>0</v>
      </c>
      <c r="K210" s="15" cm="1">
        <f t="array" ref="K210">AVERAGE(ABS($I$3:I210))</f>
        <v>10.158653846153847</v>
      </c>
      <c r="L210" s="15" cm="1">
        <f t="array" ref="L210">AVERAGE(ABS($J$3:J210))</f>
        <v>0.3288461538461539</v>
      </c>
      <c r="O210" s="13">
        <f t="shared" si="19"/>
        <v>0</v>
      </c>
      <c r="P210" s="14">
        <f t="shared" si="20"/>
        <v>0</v>
      </c>
    </row>
    <row r="211" spans="8:16" x14ac:dyDescent="0.25">
      <c r="H211" s="6" t="s">
        <v>27</v>
      </c>
      <c r="I211" s="13">
        <f t="shared" si="17"/>
        <v>0</v>
      </c>
      <c r="J211" s="14">
        <f t="shared" si="18"/>
        <v>0</v>
      </c>
      <c r="K211" s="15" cm="1">
        <f t="array" ref="K211">AVERAGE(ABS($I$3:I211))</f>
        <v>10.110047846889952</v>
      </c>
      <c r="L211" s="15" cm="1">
        <f t="array" ref="L211">AVERAGE(ABS($J$3:J211))</f>
        <v>0.32727272727272733</v>
      </c>
      <c r="O211" s="13">
        <f t="shared" si="19"/>
        <v>0</v>
      </c>
      <c r="P211" s="14">
        <f t="shared" si="20"/>
        <v>0</v>
      </c>
    </row>
    <row r="212" spans="8:16" x14ac:dyDescent="0.25">
      <c r="H212" s="6" t="s">
        <v>27</v>
      </c>
      <c r="I212" s="13">
        <f t="shared" si="17"/>
        <v>0</v>
      </c>
      <c r="J212" s="14">
        <f t="shared" si="18"/>
        <v>0</v>
      </c>
      <c r="K212" s="15" cm="1">
        <f t="array" ref="K212">AVERAGE(ABS($I$3:I212))</f>
        <v>10.061904761904762</v>
      </c>
      <c r="L212" s="15" cm="1">
        <f t="array" ref="L212">AVERAGE(ABS($J$3:J212))</f>
        <v>0.32571428571428573</v>
      </c>
      <c r="O212" s="13">
        <f t="shared" si="19"/>
        <v>0</v>
      </c>
      <c r="P212" s="14">
        <f t="shared" si="20"/>
        <v>0</v>
      </c>
    </row>
    <row r="213" spans="8:16" x14ac:dyDescent="0.25">
      <c r="H213" s="6" t="s">
        <v>27</v>
      </c>
      <c r="I213" s="13">
        <f t="shared" si="17"/>
        <v>0</v>
      </c>
      <c r="J213" s="14">
        <f t="shared" si="18"/>
        <v>0</v>
      </c>
      <c r="K213" s="15" cm="1">
        <f t="array" ref="K213">AVERAGE(ABS($I$3:I213))</f>
        <v>10.014218009478673</v>
      </c>
      <c r="L213" s="15" cm="1">
        <f t="array" ref="L213">AVERAGE(ABS($J$3:J213))</f>
        <v>0.32417061611374409</v>
      </c>
      <c r="O213" s="13">
        <f t="shared" si="19"/>
        <v>0</v>
      </c>
      <c r="P213" s="14">
        <f t="shared" si="20"/>
        <v>0</v>
      </c>
    </row>
    <row r="214" spans="8:16" x14ac:dyDescent="0.25">
      <c r="H214" s="6" t="s">
        <v>27</v>
      </c>
      <c r="I214" s="13">
        <f t="shared" si="17"/>
        <v>0</v>
      </c>
      <c r="J214" s="14">
        <f t="shared" si="18"/>
        <v>0</v>
      </c>
      <c r="K214" s="15" cm="1">
        <f t="array" ref="K214">AVERAGE(ABS($I$3:I214))</f>
        <v>9.9669811320754711</v>
      </c>
      <c r="L214" s="15" cm="1">
        <f t="array" ref="L214">AVERAGE(ABS($J$3:J214))</f>
        <v>0.3226415094339623</v>
      </c>
      <c r="O214" s="13">
        <f t="shared" si="19"/>
        <v>0</v>
      </c>
      <c r="P214" s="14">
        <f t="shared" si="20"/>
        <v>0</v>
      </c>
    </row>
    <row r="215" spans="8:16" x14ac:dyDescent="0.25">
      <c r="H215" s="6" t="s">
        <v>27</v>
      </c>
      <c r="I215" s="13">
        <f t="shared" si="17"/>
        <v>0</v>
      </c>
      <c r="J215" s="14">
        <f t="shared" si="18"/>
        <v>0</v>
      </c>
      <c r="K215" s="15" cm="1">
        <f t="array" ref="K215">AVERAGE(ABS($I$3:I215))</f>
        <v>9.92018779342723</v>
      </c>
      <c r="L215" s="15" cm="1">
        <f t="array" ref="L215">AVERAGE(ABS($J$3:J215))</f>
        <v>0.3211267605633803</v>
      </c>
      <c r="O215" s="13">
        <f t="shared" si="19"/>
        <v>0</v>
      </c>
      <c r="P215" s="14">
        <f t="shared" si="20"/>
        <v>0</v>
      </c>
    </row>
    <row r="216" spans="8:16" x14ac:dyDescent="0.25">
      <c r="H216" s="6" t="s">
        <v>27</v>
      </c>
      <c r="I216" s="13">
        <f t="shared" si="17"/>
        <v>0</v>
      </c>
      <c r="J216" s="14">
        <f t="shared" si="18"/>
        <v>0</v>
      </c>
      <c r="K216" s="15" cm="1">
        <f t="array" ref="K216">AVERAGE(ABS($I$3:I216))</f>
        <v>9.8738317757009337</v>
      </c>
      <c r="L216" s="15" cm="1">
        <f t="array" ref="L216">AVERAGE(ABS($J$3:J216))</f>
        <v>0.31962616822429907</v>
      </c>
      <c r="O216" s="13">
        <f t="shared" si="19"/>
        <v>0</v>
      </c>
      <c r="P216" s="14">
        <f t="shared" si="20"/>
        <v>0</v>
      </c>
    </row>
    <row r="217" spans="8:16" x14ac:dyDescent="0.25">
      <c r="H217" s="6" t="s">
        <v>27</v>
      </c>
      <c r="I217" s="13">
        <f t="shared" si="17"/>
        <v>0</v>
      </c>
      <c r="J217" s="14">
        <f t="shared" si="18"/>
        <v>0</v>
      </c>
      <c r="K217" s="15" cm="1">
        <f t="array" ref="K217">AVERAGE(ABS($I$3:I217))</f>
        <v>9.8279069767441865</v>
      </c>
      <c r="L217" s="15" cm="1">
        <f t="array" ref="L217">AVERAGE(ABS($J$3:J217))</f>
        <v>0.31813953488372093</v>
      </c>
      <c r="O217" s="13">
        <f t="shared" si="19"/>
        <v>0</v>
      </c>
      <c r="P217" s="14">
        <f t="shared" si="20"/>
        <v>0</v>
      </c>
    </row>
    <row r="218" spans="8:16" x14ac:dyDescent="0.25">
      <c r="H218" s="6" t="s">
        <v>27</v>
      </c>
      <c r="I218" s="13">
        <f t="shared" si="17"/>
        <v>0</v>
      </c>
      <c r="J218" s="14">
        <f t="shared" si="18"/>
        <v>0</v>
      </c>
      <c r="K218" s="15" cm="1">
        <f t="array" ref="K218">AVERAGE(ABS($I$3:I218))</f>
        <v>9.7824074074074066</v>
      </c>
      <c r="L218" s="15" cm="1">
        <f t="array" ref="L218">AVERAGE(ABS($J$3:J218))</f>
        <v>0.31666666666666671</v>
      </c>
      <c r="O218" s="13">
        <f t="shared" si="19"/>
        <v>0</v>
      </c>
      <c r="P218" s="14">
        <f t="shared" si="20"/>
        <v>0</v>
      </c>
    </row>
    <row r="219" spans="8:16" x14ac:dyDescent="0.25">
      <c r="H219" s="6" t="s">
        <v>27</v>
      </c>
      <c r="I219" s="13">
        <f t="shared" si="17"/>
        <v>0</v>
      </c>
      <c r="J219" s="14">
        <f t="shared" si="18"/>
        <v>0</v>
      </c>
      <c r="K219" s="15" cm="1">
        <f t="array" ref="K219">AVERAGE(ABS($I$3:I219))</f>
        <v>9.7373271889400925</v>
      </c>
      <c r="L219" s="15" cm="1">
        <f t="array" ref="L219">AVERAGE(ABS($J$3:J219))</f>
        <v>0.31520737327188941</v>
      </c>
      <c r="O219" s="13">
        <f t="shared" si="19"/>
        <v>0</v>
      </c>
      <c r="P219" s="14">
        <f t="shared" si="20"/>
        <v>0</v>
      </c>
    </row>
    <row r="220" spans="8:16" x14ac:dyDescent="0.25">
      <c r="H220" s="6" t="s">
        <v>27</v>
      </c>
      <c r="I220" s="13">
        <f t="shared" si="17"/>
        <v>0</v>
      </c>
      <c r="J220" s="14">
        <f t="shared" si="18"/>
        <v>0</v>
      </c>
      <c r="K220" s="15" cm="1">
        <f t="array" ref="K220">AVERAGE(ABS($I$3:I220))</f>
        <v>9.6926605504587151</v>
      </c>
      <c r="L220" s="15" cm="1">
        <f t="array" ref="L220">AVERAGE(ABS($J$3:J220))</f>
        <v>0.31376146788990827</v>
      </c>
      <c r="O220" s="13">
        <f t="shared" si="19"/>
        <v>0</v>
      </c>
      <c r="P220" s="14">
        <f t="shared" si="20"/>
        <v>0</v>
      </c>
    </row>
    <row r="221" spans="8:16" x14ac:dyDescent="0.25">
      <c r="H221" s="6" t="s">
        <v>27</v>
      </c>
      <c r="I221" s="13">
        <f t="shared" si="17"/>
        <v>0</v>
      </c>
      <c r="J221" s="14">
        <f t="shared" si="18"/>
        <v>0</v>
      </c>
      <c r="K221" s="15" cm="1">
        <f t="array" ref="K221">AVERAGE(ABS($I$3:I221))</f>
        <v>9.6484018264840188</v>
      </c>
      <c r="L221" s="15" cm="1">
        <f t="array" ref="L221">AVERAGE(ABS($J$3:J221))</f>
        <v>0.31232876712328772</v>
      </c>
      <c r="O221" s="13">
        <f t="shared" si="19"/>
        <v>0</v>
      </c>
      <c r="P221" s="14">
        <f t="shared" si="20"/>
        <v>0</v>
      </c>
    </row>
    <row r="222" spans="8:16" x14ac:dyDescent="0.25">
      <c r="H222" s="6" t="s">
        <v>27</v>
      </c>
      <c r="I222" s="13">
        <f t="shared" si="17"/>
        <v>0</v>
      </c>
      <c r="J222" s="14">
        <f t="shared" si="18"/>
        <v>0</v>
      </c>
      <c r="K222" s="15" cm="1">
        <f t="array" ref="K222">AVERAGE(ABS($I$3:I222))</f>
        <v>9.6045454545454554</v>
      </c>
      <c r="L222" s="15" cm="1">
        <f t="array" ref="L222">AVERAGE(ABS($J$3:J222))</f>
        <v>0.31090909090909091</v>
      </c>
      <c r="O222" s="13">
        <f t="shared" si="19"/>
        <v>0</v>
      </c>
      <c r="P222" s="14">
        <f t="shared" si="20"/>
        <v>0</v>
      </c>
    </row>
    <row r="223" spans="8:16" x14ac:dyDescent="0.25">
      <c r="H223" s="6" t="s">
        <v>27</v>
      </c>
      <c r="I223" s="13">
        <f t="shared" si="17"/>
        <v>0</v>
      </c>
      <c r="J223" s="14">
        <f t="shared" si="18"/>
        <v>0</v>
      </c>
      <c r="K223" s="15" cm="1">
        <f t="array" ref="K223">AVERAGE(ABS($I$3:I223))</f>
        <v>9.5610859728506785</v>
      </c>
      <c r="L223" s="15" cm="1">
        <f t="array" ref="L223">AVERAGE(ABS($J$3:J223))</f>
        <v>0.30950226244343892</v>
      </c>
      <c r="O223" s="13">
        <f t="shared" si="19"/>
        <v>0</v>
      </c>
      <c r="P223" s="14">
        <f t="shared" si="20"/>
        <v>0</v>
      </c>
    </row>
    <row r="224" spans="8:16" x14ac:dyDescent="0.25">
      <c r="H224" s="6" t="s">
        <v>27</v>
      </c>
      <c r="I224" s="13">
        <f t="shared" si="17"/>
        <v>0</v>
      </c>
      <c r="J224" s="14">
        <f t="shared" si="18"/>
        <v>0</v>
      </c>
      <c r="K224" s="15" cm="1">
        <f t="array" ref="K224">AVERAGE(ABS($I$3:I224))</f>
        <v>9.5180180180180187</v>
      </c>
      <c r="L224" s="15" cm="1">
        <f t="array" ref="L224">AVERAGE(ABS($J$3:J224))</f>
        <v>0.30810810810810813</v>
      </c>
      <c r="O224" s="13">
        <f t="shared" si="19"/>
        <v>0</v>
      </c>
      <c r="P224" s="14">
        <f t="shared" si="20"/>
        <v>0</v>
      </c>
    </row>
    <row r="225" spans="8:16" x14ac:dyDescent="0.25">
      <c r="H225" s="6" t="s">
        <v>27</v>
      </c>
      <c r="I225" s="13">
        <f t="shared" si="17"/>
        <v>0</v>
      </c>
      <c r="J225" s="14">
        <f t="shared" si="18"/>
        <v>0</v>
      </c>
      <c r="K225" s="15" cm="1">
        <f t="array" ref="K225">AVERAGE(ABS($I$3:I225))</f>
        <v>9.4753363228699552</v>
      </c>
      <c r="L225" s="15" cm="1">
        <f t="array" ref="L225">AVERAGE(ABS($J$3:J225))</f>
        <v>0.30672645739910315</v>
      </c>
      <c r="O225" s="13">
        <f t="shared" si="19"/>
        <v>0</v>
      </c>
      <c r="P225" s="14">
        <f t="shared" si="20"/>
        <v>0</v>
      </c>
    </row>
    <row r="226" spans="8:16" x14ac:dyDescent="0.25">
      <c r="H226" s="6" t="s">
        <v>27</v>
      </c>
      <c r="I226" s="13">
        <f t="shared" si="17"/>
        <v>0</v>
      </c>
      <c r="J226" s="14">
        <f t="shared" si="18"/>
        <v>0</v>
      </c>
      <c r="K226" s="15" cm="1">
        <f t="array" ref="K226">AVERAGE(ABS($I$3:I226))</f>
        <v>9.4330357142857135</v>
      </c>
      <c r="L226" s="15" cm="1">
        <f t="array" ref="L226">AVERAGE(ABS($J$3:J226))</f>
        <v>0.30535714285714288</v>
      </c>
      <c r="O226" s="13">
        <f t="shared" si="19"/>
        <v>0</v>
      </c>
      <c r="P226" s="14">
        <f t="shared" si="20"/>
        <v>0</v>
      </c>
    </row>
    <row r="227" spans="8:16" x14ac:dyDescent="0.25">
      <c r="H227" s="6" t="s">
        <v>27</v>
      </c>
      <c r="I227" s="13">
        <f t="shared" si="17"/>
        <v>0</v>
      </c>
      <c r="J227" s="14">
        <f t="shared" si="18"/>
        <v>0</v>
      </c>
      <c r="K227" s="15" cm="1">
        <f t="array" ref="K227">AVERAGE(ABS($I$3:I227))</f>
        <v>9.3911111111111119</v>
      </c>
      <c r="L227" s="15" cm="1">
        <f t="array" ref="L227">AVERAGE(ABS($J$3:J227))</f>
        <v>0.30400000000000005</v>
      </c>
      <c r="O227" s="13">
        <f t="shared" si="19"/>
        <v>0</v>
      </c>
      <c r="P227" s="14">
        <f t="shared" si="20"/>
        <v>0</v>
      </c>
    </row>
    <row r="228" spans="8:16" x14ac:dyDescent="0.25">
      <c r="H228" s="6" t="s">
        <v>27</v>
      </c>
      <c r="I228" s="13">
        <f t="shared" si="17"/>
        <v>0</v>
      </c>
      <c r="J228" s="14">
        <f t="shared" si="18"/>
        <v>0</v>
      </c>
      <c r="K228" s="15" cm="1">
        <f t="array" ref="K228">AVERAGE(ABS($I$3:I228))</f>
        <v>9.3495575221238933</v>
      </c>
      <c r="L228" s="15" cm="1">
        <f t="array" ref="L228">AVERAGE(ABS($J$3:J228))</f>
        <v>0.30265486725663721</v>
      </c>
      <c r="O228" s="13">
        <f t="shared" si="19"/>
        <v>0</v>
      </c>
      <c r="P228" s="14">
        <f t="shared" si="20"/>
        <v>0</v>
      </c>
    </row>
    <row r="229" spans="8:16" x14ac:dyDescent="0.25">
      <c r="H229" s="6" t="s">
        <v>27</v>
      </c>
      <c r="I229" s="13">
        <f t="shared" si="17"/>
        <v>0</v>
      </c>
      <c r="J229" s="14">
        <f t="shared" si="18"/>
        <v>0</v>
      </c>
      <c r="K229" s="15" cm="1">
        <f t="array" ref="K229">AVERAGE(ABS($I$3:I229))</f>
        <v>9.3083700440528627</v>
      </c>
      <c r="L229" s="15" cm="1">
        <f t="array" ref="L229">AVERAGE(ABS($J$3:J229))</f>
        <v>0.30132158590308372</v>
      </c>
      <c r="O229" s="13">
        <f t="shared" si="19"/>
        <v>0</v>
      </c>
      <c r="P229" s="14">
        <f t="shared" si="20"/>
        <v>0</v>
      </c>
    </row>
    <row r="230" spans="8:16" x14ac:dyDescent="0.25">
      <c r="H230" s="6" t="s">
        <v>27</v>
      </c>
      <c r="I230" s="13">
        <f t="shared" si="17"/>
        <v>0</v>
      </c>
      <c r="J230" s="14">
        <f t="shared" si="18"/>
        <v>0</v>
      </c>
      <c r="K230" s="15" cm="1">
        <f t="array" ref="K230">AVERAGE(ABS($I$3:I230))</f>
        <v>9.2675438596491233</v>
      </c>
      <c r="L230" s="15" cm="1">
        <f t="array" ref="L230">AVERAGE(ABS($J$3:J230))</f>
        <v>0.30000000000000004</v>
      </c>
      <c r="O230" s="13">
        <f t="shared" si="19"/>
        <v>0</v>
      </c>
      <c r="P230" s="14">
        <f t="shared" si="20"/>
        <v>0</v>
      </c>
    </row>
    <row r="231" spans="8:16" x14ac:dyDescent="0.25">
      <c r="H231" s="6" t="s">
        <v>27</v>
      </c>
      <c r="I231" s="13">
        <f t="shared" si="17"/>
        <v>0</v>
      </c>
      <c r="J231" s="14">
        <f t="shared" si="18"/>
        <v>0</v>
      </c>
      <c r="K231" s="15" cm="1">
        <f t="array" ref="K231">AVERAGE(ABS($I$3:I231))</f>
        <v>9.2270742358078603</v>
      </c>
      <c r="L231" s="15" cm="1">
        <f t="array" ref="L231">AVERAGE(ABS($J$3:J231))</f>
        <v>0.29868995633187778</v>
      </c>
      <c r="O231" s="13">
        <f t="shared" si="19"/>
        <v>0</v>
      </c>
      <c r="P231" s="14">
        <f t="shared" si="20"/>
        <v>0</v>
      </c>
    </row>
    <row r="232" spans="8:16" x14ac:dyDescent="0.25">
      <c r="H232" s="6" t="s">
        <v>27</v>
      </c>
      <c r="I232" s="13">
        <f t="shared" si="17"/>
        <v>0</v>
      </c>
      <c r="J232" s="14">
        <f t="shared" si="18"/>
        <v>0</v>
      </c>
      <c r="K232" s="15" cm="1">
        <f t="array" ref="K232">AVERAGE(ABS($I$3:I232))</f>
        <v>9.1869565217391305</v>
      </c>
      <c r="L232" s="15" cm="1">
        <f t="array" ref="L232">AVERAGE(ABS($J$3:J232))</f>
        <v>0.29739130434782612</v>
      </c>
      <c r="O232" s="13">
        <f t="shared" si="19"/>
        <v>0</v>
      </c>
      <c r="P232" s="14">
        <f t="shared" si="20"/>
        <v>0</v>
      </c>
    </row>
    <row r="233" spans="8:16" x14ac:dyDescent="0.25">
      <c r="H233" s="6" t="s">
        <v>27</v>
      </c>
      <c r="I233" s="13">
        <f t="shared" si="17"/>
        <v>0</v>
      </c>
      <c r="J233" s="14">
        <f t="shared" si="18"/>
        <v>0</v>
      </c>
      <c r="K233" s="15" cm="1">
        <f t="array" ref="K233">AVERAGE(ABS($I$3:I233))</f>
        <v>9.1471861471861473</v>
      </c>
      <c r="L233" s="15" cm="1">
        <f t="array" ref="L233">AVERAGE(ABS($J$3:J233))</f>
        <v>0.29610389610389615</v>
      </c>
      <c r="O233" s="13">
        <f t="shared" si="19"/>
        <v>0</v>
      </c>
      <c r="P233" s="14">
        <f t="shared" si="20"/>
        <v>0</v>
      </c>
    </row>
    <row r="234" spans="8:16" x14ac:dyDescent="0.25">
      <c r="H234" s="6" t="s">
        <v>27</v>
      </c>
      <c r="I234" s="13">
        <f t="shared" si="17"/>
        <v>0</v>
      </c>
      <c r="J234" s="14">
        <f t="shared" si="18"/>
        <v>0</v>
      </c>
      <c r="K234" s="15" cm="1">
        <f t="array" ref="K234">AVERAGE(ABS($I$3:I234))</f>
        <v>9.1077586206896548</v>
      </c>
      <c r="L234" s="15" cm="1">
        <f t="array" ref="L234">AVERAGE(ABS($J$3:J234))</f>
        <v>0.29482758620689659</v>
      </c>
      <c r="O234" s="13">
        <f t="shared" si="19"/>
        <v>0</v>
      </c>
      <c r="P234" s="14">
        <f t="shared" si="20"/>
        <v>0</v>
      </c>
    </row>
    <row r="235" spans="8:16" x14ac:dyDescent="0.25">
      <c r="H235" s="6" t="s">
        <v>27</v>
      </c>
      <c r="I235" s="13">
        <f t="shared" si="17"/>
        <v>0</v>
      </c>
      <c r="J235" s="14">
        <f t="shared" si="18"/>
        <v>0</v>
      </c>
      <c r="K235" s="15" cm="1">
        <f t="array" ref="K235">AVERAGE(ABS($I$3:I235))</f>
        <v>9.0686695278969953</v>
      </c>
      <c r="L235" s="15" cm="1">
        <f t="array" ref="L235">AVERAGE(ABS($J$3:J235))</f>
        <v>0.29356223175965668</v>
      </c>
      <c r="O235" s="13">
        <f t="shared" si="19"/>
        <v>0</v>
      </c>
      <c r="P235" s="14">
        <f t="shared" si="20"/>
        <v>0</v>
      </c>
    </row>
    <row r="236" spans="8:16" x14ac:dyDescent="0.25">
      <c r="H236" s="6" t="s">
        <v>27</v>
      </c>
      <c r="I236" s="13">
        <f t="shared" si="17"/>
        <v>0</v>
      </c>
      <c r="J236" s="14">
        <f t="shared" si="18"/>
        <v>0</v>
      </c>
      <c r="K236" s="15" cm="1">
        <f t="array" ref="K236">AVERAGE(ABS($I$3:I236))</f>
        <v>9.0299145299145298</v>
      </c>
      <c r="L236" s="15" cm="1">
        <f t="array" ref="L236">AVERAGE(ABS($J$3:J236))</f>
        <v>0.29230769230769232</v>
      </c>
      <c r="O236" s="13">
        <f t="shared" si="19"/>
        <v>0</v>
      </c>
      <c r="P236" s="14">
        <f t="shared" si="20"/>
        <v>0</v>
      </c>
    </row>
    <row r="237" spans="8:16" x14ac:dyDescent="0.25">
      <c r="H237" s="6" t="s">
        <v>27</v>
      </c>
      <c r="I237" s="13">
        <f t="shared" si="17"/>
        <v>0</v>
      </c>
      <c r="J237" s="14">
        <f t="shared" si="18"/>
        <v>0</v>
      </c>
      <c r="K237" s="15" cm="1">
        <f t="array" ref="K237">AVERAGE(ABS($I$3:I237))</f>
        <v>8.9914893617021274</v>
      </c>
      <c r="L237" s="15" cm="1">
        <f t="array" ref="L237">AVERAGE(ABS($J$3:J237))</f>
        <v>0.29106382978723405</v>
      </c>
      <c r="O237" s="13">
        <f t="shared" si="19"/>
        <v>0</v>
      </c>
      <c r="P237" s="14">
        <f t="shared" si="20"/>
        <v>0</v>
      </c>
    </row>
    <row r="238" spans="8:16" x14ac:dyDescent="0.25">
      <c r="H238" s="6" t="s">
        <v>27</v>
      </c>
      <c r="I238" s="13">
        <f t="shared" si="17"/>
        <v>0</v>
      </c>
      <c r="J238" s="14">
        <f t="shared" si="18"/>
        <v>0</v>
      </c>
      <c r="K238" s="15" cm="1">
        <f t="array" ref="K238">AVERAGE(ABS($I$3:I238))</f>
        <v>8.953389830508474</v>
      </c>
      <c r="L238" s="15" cm="1">
        <f t="array" ref="L238">AVERAGE(ABS($J$3:J238))</f>
        <v>0.28983050847457631</v>
      </c>
      <c r="O238" s="13">
        <f t="shared" si="19"/>
        <v>0</v>
      </c>
      <c r="P238" s="14">
        <f t="shared" si="20"/>
        <v>0</v>
      </c>
    </row>
    <row r="239" spans="8:16" x14ac:dyDescent="0.25">
      <c r="H239" s="6" t="s">
        <v>27</v>
      </c>
      <c r="I239" s="13">
        <f t="shared" si="17"/>
        <v>0</v>
      </c>
      <c r="J239" s="14">
        <f t="shared" si="18"/>
        <v>0</v>
      </c>
      <c r="K239" s="15" cm="1">
        <f t="array" ref="K239">AVERAGE(ABS($I$3:I239))</f>
        <v>8.9156118143459917</v>
      </c>
      <c r="L239" s="15" cm="1">
        <f t="array" ref="L239">AVERAGE(ABS($J$3:J239))</f>
        <v>0.2886075949367089</v>
      </c>
      <c r="O239" s="13">
        <f t="shared" si="19"/>
        <v>0</v>
      </c>
      <c r="P239" s="14">
        <f t="shared" si="20"/>
        <v>0</v>
      </c>
    </row>
    <row r="240" spans="8:16" x14ac:dyDescent="0.25">
      <c r="H240" s="6" t="s">
        <v>27</v>
      </c>
      <c r="I240" s="13">
        <f t="shared" si="17"/>
        <v>0</v>
      </c>
      <c r="J240" s="14">
        <f t="shared" si="18"/>
        <v>0</v>
      </c>
      <c r="K240" s="15" cm="1">
        <f t="array" ref="K240">AVERAGE(ABS($I$3:I240))</f>
        <v>8.8781512605042021</v>
      </c>
      <c r="L240" s="15" cm="1">
        <f t="array" ref="L240">AVERAGE(ABS($J$3:J240))</f>
        <v>0.28739495798319331</v>
      </c>
      <c r="O240" s="13">
        <f t="shared" si="19"/>
        <v>0</v>
      </c>
      <c r="P240" s="14">
        <f t="shared" si="20"/>
        <v>0</v>
      </c>
    </row>
    <row r="241" spans="8:16" x14ac:dyDescent="0.25">
      <c r="H241" s="6" t="s">
        <v>27</v>
      </c>
      <c r="I241" s="13">
        <f t="shared" si="17"/>
        <v>0</v>
      </c>
      <c r="J241" s="14">
        <f t="shared" si="18"/>
        <v>0</v>
      </c>
      <c r="K241" s="15" cm="1">
        <f t="array" ref="K241">AVERAGE(ABS($I$3:I241))</f>
        <v>8.8410041841004183</v>
      </c>
      <c r="L241" s="15" cm="1">
        <f t="array" ref="L241">AVERAGE(ABS($J$3:J241))</f>
        <v>0.28619246861924691</v>
      </c>
      <c r="O241" s="13">
        <f t="shared" si="19"/>
        <v>0</v>
      </c>
      <c r="P241" s="14">
        <f t="shared" si="20"/>
        <v>0</v>
      </c>
    </row>
    <row r="242" spans="8:16" x14ac:dyDescent="0.25">
      <c r="H242" s="6" t="s">
        <v>27</v>
      </c>
      <c r="I242" s="13">
        <f t="shared" si="17"/>
        <v>0</v>
      </c>
      <c r="J242" s="14">
        <f t="shared" si="18"/>
        <v>0</v>
      </c>
      <c r="K242" s="15" cm="1">
        <f t="array" ref="K242">AVERAGE(ABS($I$3:I242))</f>
        <v>8.8041666666666671</v>
      </c>
      <c r="L242" s="15" cm="1">
        <f t="array" ref="L242">AVERAGE(ABS($J$3:J242))</f>
        <v>0.28500000000000003</v>
      </c>
      <c r="O242" s="13">
        <f t="shared" si="19"/>
        <v>0</v>
      </c>
      <c r="P242" s="14">
        <f t="shared" si="20"/>
        <v>0</v>
      </c>
    </row>
    <row r="243" spans="8:16" x14ac:dyDescent="0.25">
      <c r="H243" s="6" t="s">
        <v>27</v>
      </c>
      <c r="I243" s="13">
        <f t="shared" si="17"/>
        <v>0</v>
      </c>
      <c r="J243" s="14">
        <f t="shared" si="18"/>
        <v>0</v>
      </c>
      <c r="K243" s="15" cm="1">
        <f t="array" ref="K243">AVERAGE(ABS($I$3:I243))</f>
        <v>8.7676348547717851</v>
      </c>
      <c r="L243" s="15" cm="1">
        <f t="array" ref="L243">AVERAGE(ABS($J$3:J243))</f>
        <v>0.28381742738589216</v>
      </c>
      <c r="O243" s="13">
        <f t="shared" si="19"/>
        <v>0</v>
      </c>
      <c r="P243" s="14">
        <f t="shared" si="20"/>
        <v>0</v>
      </c>
    </row>
    <row r="244" spans="8:16" x14ac:dyDescent="0.25">
      <c r="H244" s="6" t="s">
        <v>27</v>
      </c>
      <c r="I244" s="13">
        <f t="shared" si="17"/>
        <v>0</v>
      </c>
      <c r="J244" s="14">
        <f t="shared" si="18"/>
        <v>0</v>
      </c>
      <c r="K244" s="15" cm="1">
        <f t="array" ref="K244">AVERAGE(ABS($I$3:I244))</f>
        <v>8.7314049586776861</v>
      </c>
      <c r="L244" s="15" cm="1">
        <f t="array" ref="L244">AVERAGE(ABS($J$3:J244))</f>
        <v>0.28264462809917357</v>
      </c>
      <c r="O244" s="13">
        <f t="shared" si="19"/>
        <v>0</v>
      </c>
      <c r="P244" s="14">
        <f t="shared" si="20"/>
        <v>0</v>
      </c>
    </row>
    <row r="245" spans="8:16" x14ac:dyDescent="0.25">
      <c r="H245" s="6" t="s">
        <v>27</v>
      </c>
      <c r="I245" s="13">
        <f t="shared" si="17"/>
        <v>0</v>
      </c>
      <c r="J245" s="14">
        <f t="shared" si="18"/>
        <v>0</v>
      </c>
      <c r="K245" s="15" cm="1">
        <f t="array" ref="K245">AVERAGE(ABS($I$3:I245))</f>
        <v>8.6954732510288064</v>
      </c>
      <c r="L245" s="15" cm="1">
        <f t="array" ref="L245">AVERAGE(ABS($J$3:J245))</f>
        <v>0.2814814814814815</v>
      </c>
      <c r="O245" s="13">
        <f t="shared" si="19"/>
        <v>0</v>
      </c>
      <c r="P245" s="14">
        <f t="shared" si="20"/>
        <v>0</v>
      </c>
    </row>
    <row r="246" spans="8:16" x14ac:dyDescent="0.25">
      <c r="H246" s="6" t="s">
        <v>27</v>
      </c>
      <c r="I246" s="13">
        <f t="shared" si="17"/>
        <v>0</v>
      </c>
      <c r="J246" s="14">
        <f t="shared" si="18"/>
        <v>0</v>
      </c>
      <c r="K246" s="15" cm="1">
        <f t="array" ref="K246">AVERAGE(ABS($I$3:I246))</f>
        <v>8.6598360655737707</v>
      </c>
      <c r="L246" s="15" cm="1">
        <f t="array" ref="L246">AVERAGE(ABS($J$3:J246))</f>
        <v>0.28032786885245903</v>
      </c>
      <c r="O246" s="13">
        <f t="shared" si="19"/>
        <v>0</v>
      </c>
      <c r="P246" s="14">
        <f t="shared" si="20"/>
        <v>0</v>
      </c>
    </row>
    <row r="247" spans="8:16" x14ac:dyDescent="0.25">
      <c r="H247" s="6" t="s">
        <v>27</v>
      </c>
      <c r="I247" s="13">
        <f t="shared" si="17"/>
        <v>0</v>
      </c>
      <c r="J247" s="14">
        <f t="shared" si="18"/>
        <v>0</v>
      </c>
      <c r="K247" s="15" cm="1">
        <f t="array" ref="K247">AVERAGE(ABS($I$3:I247))</f>
        <v>8.6244897959183682</v>
      </c>
      <c r="L247" s="15" cm="1">
        <f t="array" ref="L247">AVERAGE(ABS($J$3:J247))</f>
        <v>0.27918367346938777</v>
      </c>
      <c r="O247" s="13">
        <f t="shared" si="19"/>
        <v>0</v>
      </c>
      <c r="P247" s="14">
        <f t="shared" si="20"/>
        <v>0</v>
      </c>
    </row>
    <row r="248" spans="8:16" x14ac:dyDescent="0.25">
      <c r="H248" s="6" t="s">
        <v>27</v>
      </c>
      <c r="I248" s="13">
        <f t="shared" si="17"/>
        <v>0</v>
      </c>
      <c r="J248" s="14">
        <f t="shared" si="18"/>
        <v>0</v>
      </c>
      <c r="K248" s="15" cm="1">
        <f t="array" ref="K248">AVERAGE(ABS($I$3:I248))</f>
        <v>8.5894308943089435</v>
      </c>
      <c r="L248" s="15" cm="1">
        <f t="array" ref="L248">AVERAGE(ABS($J$3:J248))</f>
        <v>0.2780487804878049</v>
      </c>
      <c r="O248" s="13">
        <f t="shared" si="19"/>
        <v>0</v>
      </c>
      <c r="P248" s="14">
        <f t="shared" si="20"/>
        <v>0</v>
      </c>
    </row>
    <row r="249" spans="8:16" x14ac:dyDescent="0.25">
      <c r="H249" s="6" t="s">
        <v>27</v>
      </c>
      <c r="I249" s="13">
        <f t="shared" si="17"/>
        <v>0</v>
      </c>
      <c r="J249" s="14">
        <f t="shared" si="18"/>
        <v>0</v>
      </c>
      <c r="K249" s="15" cm="1">
        <f t="array" ref="K249">AVERAGE(ABS($I$3:I249))</f>
        <v>8.5546558704453446</v>
      </c>
      <c r="L249" s="15" cm="1">
        <f t="array" ref="L249">AVERAGE(ABS($J$3:J249))</f>
        <v>0.27692307692307694</v>
      </c>
      <c r="O249" s="13">
        <f t="shared" si="19"/>
        <v>0</v>
      </c>
      <c r="P249" s="14">
        <f t="shared" si="20"/>
        <v>0</v>
      </c>
    </row>
    <row r="250" spans="8:16" x14ac:dyDescent="0.25">
      <c r="H250" s="6" t="s">
        <v>27</v>
      </c>
      <c r="I250" s="13">
        <f t="shared" si="17"/>
        <v>0</v>
      </c>
      <c r="J250" s="14">
        <f t="shared" si="18"/>
        <v>0</v>
      </c>
      <c r="K250" s="15" cm="1">
        <f t="array" ref="K250">AVERAGE(ABS($I$3:I250))</f>
        <v>8.5201612903225801</v>
      </c>
      <c r="L250" s="15" cm="1">
        <f t="array" ref="L250">AVERAGE(ABS($J$3:J250))</f>
        <v>0.27580645161290324</v>
      </c>
      <c r="O250" s="13">
        <f t="shared" si="19"/>
        <v>0</v>
      </c>
      <c r="P250" s="14">
        <f t="shared" si="20"/>
        <v>0</v>
      </c>
    </row>
    <row r="251" spans="8:16" x14ac:dyDescent="0.25">
      <c r="H251" s="6" t="s">
        <v>27</v>
      </c>
      <c r="I251" s="13">
        <f t="shared" si="17"/>
        <v>0</v>
      </c>
      <c r="J251" s="14">
        <f t="shared" si="18"/>
        <v>0</v>
      </c>
      <c r="K251" s="15" cm="1">
        <f t="array" ref="K251">AVERAGE(ABS($I$3:I251))</f>
        <v>8.4859437751004023</v>
      </c>
      <c r="L251" s="15" cm="1">
        <f t="array" ref="L251">AVERAGE(ABS($J$3:J251))</f>
        <v>0.27469879518072293</v>
      </c>
      <c r="O251" s="13">
        <f t="shared" si="19"/>
        <v>0</v>
      </c>
      <c r="P251" s="14">
        <f t="shared" si="20"/>
        <v>0</v>
      </c>
    </row>
    <row r="252" spans="8:16" x14ac:dyDescent="0.25">
      <c r="H252" s="6" t="s">
        <v>27</v>
      </c>
      <c r="I252" s="13">
        <f t="shared" si="17"/>
        <v>0</v>
      </c>
      <c r="J252" s="14">
        <f t="shared" si="18"/>
        <v>0</v>
      </c>
      <c r="K252" s="15" cm="1">
        <f t="array" ref="K252">AVERAGE(ABS($I$3:I252))</f>
        <v>8.452</v>
      </c>
      <c r="L252" s="15" cm="1">
        <f t="array" ref="L252">AVERAGE(ABS($J$3:J252))</f>
        <v>0.27360000000000001</v>
      </c>
      <c r="O252" s="13">
        <f t="shared" si="19"/>
        <v>0</v>
      </c>
      <c r="P252" s="14">
        <f t="shared" si="20"/>
        <v>0</v>
      </c>
    </row>
    <row r="253" spans="8:16" x14ac:dyDescent="0.25">
      <c r="H253" s="6" t="s">
        <v>27</v>
      </c>
      <c r="I253" s="13">
        <f t="shared" si="17"/>
        <v>0</v>
      </c>
      <c r="J253" s="14">
        <f t="shared" si="18"/>
        <v>0</v>
      </c>
      <c r="K253" s="15" cm="1">
        <f t="array" ref="K253">AVERAGE(ABS($I$3:I253))</f>
        <v>8.4183266932270922</v>
      </c>
      <c r="L253" s="15" cm="1">
        <f t="array" ref="L253">AVERAGE(ABS($J$3:J253))</f>
        <v>0.27250996015936257</v>
      </c>
      <c r="O253" s="13">
        <f t="shared" si="19"/>
        <v>0</v>
      </c>
      <c r="P253" s="14">
        <f t="shared" si="20"/>
        <v>0</v>
      </c>
    </row>
    <row r="254" spans="8:16" x14ac:dyDescent="0.25">
      <c r="H254" s="6" t="s">
        <v>27</v>
      </c>
      <c r="I254" s="13">
        <f t="shared" si="17"/>
        <v>0</v>
      </c>
      <c r="J254" s="14">
        <f t="shared" si="18"/>
        <v>0</v>
      </c>
      <c r="K254" s="15" cm="1">
        <f t="array" ref="K254">AVERAGE(ABS($I$3:I254))</f>
        <v>8.3849206349206344</v>
      </c>
      <c r="L254" s="15" cm="1">
        <f t="array" ref="L254">AVERAGE(ABS($J$3:J254))</f>
        <v>0.27142857142857146</v>
      </c>
      <c r="O254" s="13">
        <f t="shared" si="19"/>
        <v>0</v>
      </c>
      <c r="P254" s="14">
        <f t="shared" si="20"/>
        <v>0</v>
      </c>
    </row>
    <row r="255" spans="8:16" x14ac:dyDescent="0.25">
      <c r="H255" s="6" t="s">
        <v>27</v>
      </c>
      <c r="I255" s="13">
        <f t="shared" si="17"/>
        <v>0</v>
      </c>
      <c r="J255" s="14">
        <f t="shared" si="18"/>
        <v>0</v>
      </c>
      <c r="K255" s="15" cm="1">
        <f t="array" ref="K255">AVERAGE(ABS($I$3:I255))</f>
        <v>8.3517786561264824</v>
      </c>
      <c r="L255" s="15" cm="1">
        <f t="array" ref="L255">AVERAGE(ABS($J$3:J255))</f>
        <v>0.27035573122529649</v>
      </c>
      <c r="O255" s="13">
        <f t="shared" si="19"/>
        <v>0</v>
      </c>
      <c r="P255" s="14">
        <f t="shared" si="20"/>
        <v>0</v>
      </c>
    </row>
    <row r="256" spans="8:16" x14ac:dyDescent="0.25">
      <c r="H256" s="6" t="s">
        <v>27</v>
      </c>
      <c r="I256" s="13">
        <f t="shared" si="17"/>
        <v>0</v>
      </c>
      <c r="J256" s="14">
        <f t="shared" si="18"/>
        <v>0</v>
      </c>
      <c r="K256" s="15" cm="1">
        <f t="array" ref="K256">AVERAGE(ABS($I$3:I256))</f>
        <v>8.3188976377952759</v>
      </c>
      <c r="L256" s="15" cm="1">
        <f t="array" ref="L256">AVERAGE(ABS($J$3:J256))</f>
        <v>0.26929133858267718</v>
      </c>
      <c r="O256" s="13">
        <f t="shared" si="19"/>
        <v>0</v>
      </c>
      <c r="P256" s="14">
        <f t="shared" si="20"/>
        <v>0</v>
      </c>
    </row>
    <row r="257" spans="8:16" x14ac:dyDescent="0.25">
      <c r="H257" s="6" t="s">
        <v>27</v>
      </c>
      <c r="I257" s="13">
        <f t="shared" si="17"/>
        <v>0</v>
      </c>
      <c r="J257" s="14">
        <f t="shared" si="18"/>
        <v>0</v>
      </c>
      <c r="K257" s="15" cm="1">
        <f t="array" ref="K257">AVERAGE(ABS($I$3:I257))</f>
        <v>8.2862745098039223</v>
      </c>
      <c r="L257" s="15" cm="1">
        <f t="array" ref="L257">AVERAGE(ABS($J$3:J257))</f>
        <v>0.26823529411764707</v>
      </c>
      <c r="O257" s="13">
        <f t="shared" si="19"/>
        <v>0</v>
      </c>
      <c r="P257" s="14">
        <f t="shared" si="20"/>
        <v>0</v>
      </c>
    </row>
    <row r="258" spans="8:16" x14ac:dyDescent="0.25">
      <c r="H258" s="6" t="s">
        <v>27</v>
      </c>
      <c r="I258" s="13">
        <f t="shared" si="17"/>
        <v>0</v>
      </c>
      <c r="J258" s="14">
        <f t="shared" si="18"/>
        <v>0</v>
      </c>
      <c r="K258" s="15" cm="1">
        <f t="array" ref="K258">AVERAGE(ABS($I$3:I258))</f>
        <v>8.25390625</v>
      </c>
      <c r="L258" s="15" cm="1">
        <f t="array" ref="L258">AVERAGE(ABS($J$3:J258))</f>
        <v>0.26718750000000002</v>
      </c>
      <c r="O258" s="13">
        <f t="shared" si="19"/>
        <v>0</v>
      </c>
      <c r="P258" s="14">
        <f t="shared" si="20"/>
        <v>0</v>
      </c>
    </row>
    <row r="259" spans="8:16" x14ac:dyDescent="0.25">
      <c r="H259" s="6" t="s">
        <v>27</v>
      </c>
      <c r="I259" s="13">
        <f t="shared" si="17"/>
        <v>0</v>
      </c>
      <c r="J259" s="14">
        <f t="shared" si="18"/>
        <v>0</v>
      </c>
      <c r="K259" s="15" cm="1">
        <f t="array" ref="K259">AVERAGE(ABS($I$3:I259))</f>
        <v>8.2217898832684817</v>
      </c>
      <c r="L259" s="15" cm="1">
        <f t="array" ref="L259">AVERAGE(ABS($J$3:J259))</f>
        <v>0.26614785992217899</v>
      </c>
      <c r="O259" s="13">
        <f t="shared" si="19"/>
        <v>0</v>
      </c>
      <c r="P259" s="14">
        <f t="shared" si="20"/>
        <v>0</v>
      </c>
    </row>
    <row r="260" spans="8:16" x14ac:dyDescent="0.25">
      <c r="H260" s="6" t="s">
        <v>27</v>
      </c>
      <c r="I260" s="13">
        <f t="shared" ref="I260:I323" si="21">(E260-D260)</f>
        <v>0</v>
      </c>
      <c r="J260" s="14">
        <f t="shared" ref="J260:J323" si="22">(G260-F260)</f>
        <v>0</v>
      </c>
      <c r="K260" s="15" cm="1">
        <f t="array" ref="K260">AVERAGE(ABS($I$3:I260))</f>
        <v>8.1899224806201545</v>
      </c>
      <c r="L260" s="15" cm="1">
        <f t="array" ref="L260">AVERAGE(ABS($J$3:J260))</f>
        <v>0.26511627906976748</v>
      </c>
      <c r="O260" s="13">
        <f t="shared" ref="O260:O323" si="23">(M260-D260)</f>
        <v>0</v>
      </c>
      <c r="P260" s="14">
        <f t="shared" ref="P260:P323" si="24">(N260-F260)</f>
        <v>0</v>
      </c>
    </row>
    <row r="261" spans="8:16" x14ac:dyDescent="0.25">
      <c r="H261" s="6" t="s">
        <v>27</v>
      </c>
      <c r="I261" s="13">
        <f t="shared" si="21"/>
        <v>0</v>
      </c>
      <c r="J261" s="14">
        <f t="shared" si="22"/>
        <v>0</v>
      </c>
      <c r="K261" s="15" cm="1">
        <f t="array" ref="K261">AVERAGE(ABS($I$3:I261))</f>
        <v>8.1583011583011587</v>
      </c>
      <c r="L261" s="15" cm="1">
        <f t="array" ref="L261">AVERAGE(ABS($J$3:J261))</f>
        <v>0.26409266409266413</v>
      </c>
      <c r="O261" s="13">
        <f t="shared" si="23"/>
        <v>0</v>
      </c>
      <c r="P261" s="14">
        <f t="shared" si="24"/>
        <v>0</v>
      </c>
    </row>
    <row r="262" spans="8:16" x14ac:dyDescent="0.25">
      <c r="H262" s="6" t="s">
        <v>27</v>
      </c>
      <c r="I262" s="13">
        <f t="shared" si="21"/>
        <v>0</v>
      </c>
      <c r="J262" s="14">
        <f t="shared" si="22"/>
        <v>0</v>
      </c>
      <c r="K262" s="15" cm="1">
        <f t="array" ref="K262">AVERAGE(ABS($I$3:I262))</f>
        <v>8.1269230769230774</v>
      </c>
      <c r="L262" s="15" cm="1">
        <f t="array" ref="L262">AVERAGE(ABS($J$3:J262))</f>
        <v>0.2630769230769231</v>
      </c>
      <c r="O262" s="13">
        <f t="shared" si="23"/>
        <v>0</v>
      </c>
      <c r="P262" s="14">
        <f t="shared" si="24"/>
        <v>0</v>
      </c>
    </row>
    <row r="263" spans="8:16" x14ac:dyDescent="0.25">
      <c r="H263" s="6" t="s">
        <v>27</v>
      </c>
      <c r="I263" s="13">
        <f t="shared" si="21"/>
        <v>0</v>
      </c>
      <c r="J263" s="14">
        <f t="shared" si="22"/>
        <v>0</v>
      </c>
      <c r="K263" s="15" cm="1">
        <f t="array" ref="K263">AVERAGE(ABS($I$3:I263))</f>
        <v>8.0957854406130263</v>
      </c>
      <c r="L263" s="15" cm="1">
        <f t="array" ref="L263">AVERAGE(ABS($J$3:J263))</f>
        <v>0.2620689655172414</v>
      </c>
      <c r="O263" s="13">
        <f t="shared" si="23"/>
        <v>0</v>
      </c>
      <c r="P263" s="14">
        <f t="shared" si="24"/>
        <v>0</v>
      </c>
    </row>
    <row r="264" spans="8:16" x14ac:dyDescent="0.25">
      <c r="H264" s="6" t="s">
        <v>27</v>
      </c>
      <c r="I264" s="13">
        <f t="shared" si="21"/>
        <v>0</v>
      </c>
      <c r="J264" s="14">
        <f t="shared" si="22"/>
        <v>0</v>
      </c>
      <c r="K264" s="15" cm="1">
        <f t="array" ref="K264">AVERAGE(ABS($I$3:I264))</f>
        <v>8.0648854961832068</v>
      </c>
      <c r="L264" s="15" cm="1">
        <f t="array" ref="L264">AVERAGE(ABS($J$3:J264))</f>
        <v>0.26106870229007634</v>
      </c>
      <c r="O264" s="13">
        <f t="shared" si="23"/>
        <v>0</v>
      </c>
      <c r="P264" s="14">
        <f t="shared" si="24"/>
        <v>0</v>
      </c>
    </row>
    <row r="265" spans="8:16" x14ac:dyDescent="0.25">
      <c r="H265" s="6" t="s">
        <v>27</v>
      </c>
      <c r="I265" s="13">
        <f t="shared" si="21"/>
        <v>0</v>
      </c>
      <c r="J265" s="14">
        <f t="shared" si="22"/>
        <v>0</v>
      </c>
      <c r="K265" s="15" cm="1">
        <f t="array" ref="K265">AVERAGE(ABS($I$3:I265))</f>
        <v>8.0342205323193916</v>
      </c>
      <c r="L265" s="15" cm="1">
        <f t="array" ref="L265">AVERAGE(ABS($J$3:J265))</f>
        <v>0.26007604562737646</v>
      </c>
      <c r="O265" s="13">
        <f t="shared" si="23"/>
        <v>0</v>
      </c>
      <c r="P265" s="14">
        <f t="shared" si="24"/>
        <v>0</v>
      </c>
    </row>
    <row r="266" spans="8:16" x14ac:dyDescent="0.25">
      <c r="H266" s="6" t="s">
        <v>27</v>
      </c>
      <c r="I266" s="13">
        <f t="shared" si="21"/>
        <v>0</v>
      </c>
      <c r="J266" s="14">
        <f t="shared" si="22"/>
        <v>0</v>
      </c>
      <c r="K266" s="15" cm="1">
        <f t="array" ref="K266">AVERAGE(ABS($I$3:I266))</f>
        <v>8.0037878787878789</v>
      </c>
      <c r="L266" s="15" cm="1">
        <f t="array" ref="L266">AVERAGE(ABS($J$3:J266))</f>
        <v>0.25909090909090909</v>
      </c>
      <c r="O266" s="13">
        <f t="shared" si="23"/>
        <v>0</v>
      </c>
      <c r="P266" s="14">
        <f t="shared" si="24"/>
        <v>0</v>
      </c>
    </row>
    <row r="267" spans="8:16" x14ac:dyDescent="0.25">
      <c r="H267" s="6" t="s">
        <v>27</v>
      </c>
      <c r="I267" s="13">
        <f t="shared" si="21"/>
        <v>0</v>
      </c>
      <c r="J267" s="14">
        <f t="shared" si="22"/>
        <v>0</v>
      </c>
      <c r="K267" s="15" cm="1">
        <f t="array" ref="K267">AVERAGE(ABS($I$3:I267))</f>
        <v>7.9735849056603776</v>
      </c>
      <c r="L267" s="15" cm="1">
        <f t="array" ref="L267">AVERAGE(ABS($J$3:J267))</f>
        <v>0.25811320754716982</v>
      </c>
      <c r="O267" s="13">
        <f t="shared" si="23"/>
        <v>0</v>
      </c>
      <c r="P267" s="14">
        <f t="shared" si="24"/>
        <v>0</v>
      </c>
    </row>
    <row r="268" spans="8:16" x14ac:dyDescent="0.25">
      <c r="H268" s="6" t="s">
        <v>27</v>
      </c>
      <c r="I268" s="13">
        <f t="shared" si="21"/>
        <v>0</v>
      </c>
      <c r="J268" s="14">
        <f t="shared" si="22"/>
        <v>0</v>
      </c>
      <c r="K268" s="15" cm="1">
        <f t="array" ref="K268">AVERAGE(ABS($I$3:I268))</f>
        <v>7.9436090225563909</v>
      </c>
      <c r="L268" s="15" cm="1">
        <f t="array" ref="L268">AVERAGE(ABS($J$3:J268))</f>
        <v>0.25714285714285717</v>
      </c>
      <c r="O268" s="13">
        <f t="shared" si="23"/>
        <v>0</v>
      </c>
      <c r="P268" s="14">
        <f t="shared" si="24"/>
        <v>0</v>
      </c>
    </row>
    <row r="269" spans="8:16" x14ac:dyDescent="0.25">
      <c r="H269" s="6" t="s">
        <v>27</v>
      </c>
      <c r="I269" s="13">
        <f t="shared" si="21"/>
        <v>0</v>
      </c>
      <c r="J269" s="14">
        <f t="shared" si="22"/>
        <v>0</v>
      </c>
      <c r="K269" s="15" cm="1">
        <f t="array" ref="K269">AVERAGE(ABS($I$3:I269))</f>
        <v>7.9138576779026213</v>
      </c>
      <c r="L269" s="15" cm="1">
        <f t="array" ref="L269">AVERAGE(ABS($J$3:J269))</f>
        <v>0.25617977528089891</v>
      </c>
      <c r="O269" s="13">
        <f t="shared" si="23"/>
        <v>0</v>
      </c>
      <c r="P269" s="14">
        <f t="shared" si="24"/>
        <v>0</v>
      </c>
    </row>
    <row r="270" spans="8:16" x14ac:dyDescent="0.25">
      <c r="H270" s="6" t="s">
        <v>27</v>
      </c>
      <c r="I270" s="13">
        <f t="shared" si="21"/>
        <v>0</v>
      </c>
      <c r="J270" s="14">
        <f t="shared" si="22"/>
        <v>0</v>
      </c>
      <c r="K270" s="15" cm="1">
        <f t="array" ref="K270">AVERAGE(ABS($I$3:I270))</f>
        <v>7.8843283582089549</v>
      </c>
      <c r="L270" s="15" cm="1">
        <f t="array" ref="L270">AVERAGE(ABS($J$3:J270))</f>
        <v>0.25522388059701495</v>
      </c>
      <c r="O270" s="13">
        <f t="shared" si="23"/>
        <v>0</v>
      </c>
      <c r="P270" s="14">
        <f t="shared" si="24"/>
        <v>0</v>
      </c>
    </row>
    <row r="271" spans="8:16" x14ac:dyDescent="0.25">
      <c r="H271" s="6" t="s">
        <v>27</v>
      </c>
      <c r="I271" s="13">
        <f t="shared" si="21"/>
        <v>0</v>
      </c>
      <c r="J271" s="14">
        <f t="shared" si="22"/>
        <v>0</v>
      </c>
      <c r="K271" s="15" cm="1">
        <f t="array" ref="K271">AVERAGE(ABS($I$3:I271))</f>
        <v>7.8550185873605951</v>
      </c>
      <c r="L271" s="15" cm="1">
        <f t="array" ref="L271">AVERAGE(ABS($J$3:J271))</f>
        <v>0.254275092936803</v>
      </c>
      <c r="O271" s="13">
        <f t="shared" si="23"/>
        <v>0</v>
      </c>
      <c r="P271" s="14">
        <f t="shared" si="24"/>
        <v>0</v>
      </c>
    </row>
    <row r="272" spans="8:16" x14ac:dyDescent="0.25">
      <c r="H272" s="6" t="s">
        <v>27</v>
      </c>
      <c r="I272" s="13">
        <f t="shared" si="21"/>
        <v>0</v>
      </c>
      <c r="J272" s="14">
        <f t="shared" si="22"/>
        <v>0</v>
      </c>
      <c r="K272" s="15" cm="1">
        <f t="array" ref="K272">AVERAGE(ABS($I$3:I272))</f>
        <v>7.825925925925926</v>
      </c>
      <c r="L272" s="15" cm="1">
        <f t="array" ref="L272">AVERAGE(ABS($J$3:J272))</f>
        <v>0.25333333333333335</v>
      </c>
      <c r="O272" s="13">
        <f t="shared" si="23"/>
        <v>0</v>
      </c>
      <c r="P272" s="14">
        <f t="shared" si="24"/>
        <v>0</v>
      </c>
    </row>
    <row r="273" spans="8:16" x14ac:dyDescent="0.25">
      <c r="H273" s="6" t="s">
        <v>27</v>
      </c>
      <c r="I273" s="13">
        <f t="shared" si="21"/>
        <v>0</v>
      </c>
      <c r="J273" s="14">
        <f t="shared" si="22"/>
        <v>0</v>
      </c>
      <c r="K273" s="15" cm="1">
        <f t="array" ref="K273">AVERAGE(ABS($I$3:I273))</f>
        <v>7.7970479704797047</v>
      </c>
      <c r="L273" s="15" cm="1">
        <f t="array" ref="L273">AVERAGE(ABS($J$3:J273))</f>
        <v>0.25239852398523988</v>
      </c>
      <c r="O273" s="13">
        <f t="shared" si="23"/>
        <v>0</v>
      </c>
      <c r="P273" s="14">
        <f t="shared" si="24"/>
        <v>0</v>
      </c>
    </row>
    <row r="274" spans="8:16" x14ac:dyDescent="0.25">
      <c r="H274" s="6" t="s">
        <v>27</v>
      </c>
      <c r="I274" s="13">
        <f t="shared" si="21"/>
        <v>0</v>
      </c>
      <c r="J274" s="14">
        <f t="shared" si="22"/>
        <v>0</v>
      </c>
      <c r="K274" s="15" cm="1">
        <f t="array" ref="K274">AVERAGE(ABS($I$3:I274))</f>
        <v>7.7683823529411766</v>
      </c>
      <c r="L274" s="15" cm="1">
        <f t="array" ref="L274">AVERAGE(ABS($J$3:J274))</f>
        <v>0.25147058823529411</v>
      </c>
      <c r="O274" s="13">
        <f t="shared" si="23"/>
        <v>0</v>
      </c>
      <c r="P274" s="14">
        <f t="shared" si="24"/>
        <v>0</v>
      </c>
    </row>
    <row r="275" spans="8:16" x14ac:dyDescent="0.25">
      <c r="H275" s="6" t="s">
        <v>27</v>
      </c>
      <c r="I275" s="13">
        <f t="shared" si="21"/>
        <v>0</v>
      </c>
      <c r="J275" s="14">
        <f t="shared" si="22"/>
        <v>0</v>
      </c>
      <c r="K275" s="15" cm="1">
        <f t="array" ref="K275">AVERAGE(ABS($I$3:I275))</f>
        <v>7.73992673992674</v>
      </c>
      <c r="L275" s="15" cm="1">
        <f t="array" ref="L275">AVERAGE(ABS($J$3:J275))</f>
        <v>0.25054945054945055</v>
      </c>
      <c r="O275" s="13">
        <f t="shared" si="23"/>
        <v>0</v>
      </c>
      <c r="P275" s="14">
        <f t="shared" si="24"/>
        <v>0</v>
      </c>
    </row>
    <row r="276" spans="8:16" x14ac:dyDescent="0.25">
      <c r="H276" s="6" t="s">
        <v>27</v>
      </c>
      <c r="I276" s="13">
        <f t="shared" si="21"/>
        <v>0</v>
      </c>
      <c r="J276" s="14">
        <f t="shared" si="22"/>
        <v>0</v>
      </c>
      <c r="K276" s="15" cm="1">
        <f t="array" ref="K276">AVERAGE(ABS($I$3:I276))</f>
        <v>7.711678832116788</v>
      </c>
      <c r="L276" s="15" cm="1">
        <f t="array" ref="L276">AVERAGE(ABS($J$3:J276))</f>
        <v>0.24963503649635038</v>
      </c>
      <c r="O276" s="13">
        <f t="shared" si="23"/>
        <v>0</v>
      </c>
      <c r="P276" s="14">
        <f t="shared" si="24"/>
        <v>0</v>
      </c>
    </row>
    <row r="277" spans="8:16" x14ac:dyDescent="0.25">
      <c r="H277" s="6" t="s">
        <v>27</v>
      </c>
      <c r="I277" s="13">
        <f t="shared" si="21"/>
        <v>0</v>
      </c>
      <c r="J277" s="14">
        <f t="shared" si="22"/>
        <v>0</v>
      </c>
      <c r="K277" s="15" cm="1">
        <f t="array" ref="K277">AVERAGE(ABS($I$3:I277))</f>
        <v>7.6836363636363636</v>
      </c>
      <c r="L277" s="15" cm="1">
        <f t="array" ref="L277">AVERAGE(ABS($J$3:J277))</f>
        <v>0.24872727272727274</v>
      </c>
      <c r="O277" s="13">
        <f t="shared" si="23"/>
        <v>0</v>
      </c>
      <c r="P277" s="14">
        <f t="shared" si="24"/>
        <v>0</v>
      </c>
    </row>
    <row r="278" spans="8:16" x14ac:dyDescent="0.25">
      <c r="H278" s="6" t="s">
        <v>27</v>
      </c>
      <c r="I278" s="13">
        <f t="shared" si="21"/>
        <v>0</v>
      </c>
      <c r="J278" s="14">
        <f t="shared" si="22"/>
        <v>0</v>
      </c>
      <c r="K278" s="15" cm="1">
        <f t="array" ref="K278">AVERAGE(ABS($I$3:I278))</f>
        <v>7.6557971014492754</v>
      </c>
      <c r="L278" s="15" cm="1">
        <f t="array" ref="L278">AVERAGE(ABS($J$3:J278))</f>
        <v>0.24782608695652175</v>
      </c>
      <c r="O278" s="13">
        <f t="shared" si="23"/>
        <v>0</v>
      </c>
      <c r="P278" s="14">
        <f t="shared" si="24"/>
        <v>0</v>
      </c>
    </row>
    <row r="279" spans="8:16" x14ac:dyDescent="0.25">
      <c r="H279" s="6" t="s">
        <v>27</v>
      </c>
      <c r="I279" s="13">
        <f t="shared" si="21"/>
        <v>0</v>
      </c>
      <c r="J279" s="14">
        <f t="shared" si="22"/>
        <v>0</v>
      </c>
      <c r="K279" s="15" cm="1">
        <f t="array" ref="K279">AVERAGE(ABS($I$3:I279))</f>
        <v>7.628158844765343</v>
      </c>
      <c r="L279" s="15" cm="1">
        <f t="array" ref="L279">AVERAGE(ABS($J$3:J279))</f>
        <v>0.24693140794223828</v>
      </c>
      <c r="O279" s="13">
        <f t="shared" si="23"/>
        <v>0</v>
      </c>
      <c r="P279" s="14">
        <f t="shared" si="24"/>
        <v>0</v>
      </c>
    </row>
    <row r="280" spans="8:16" x14ac:dyDescent="0.25">
      <c r="H280" s="6" t="s">
        <v>27</v>
      </c>
      <c r="I280" s="13">
        <f t="shared" si="21"/>
        <v>0</v>
      </c>
      <c r="J280" s="14">
        <f t="shared" si="22"/>
        <v>0</v>
      </c>
      <c r="K280" s="15" cm="1">
        <f t="array" ref="K280">AVERAGE(ABS($I$3:I280))</f>
        <v>7.6007194244604319</v>
      </c>
      <c r="L280" s="15" cm="1">
        <f t="array" ref="L280">AVERAGE(ABS($J$3:J280))</f>
        <v>0.24604316546762592</v>
      </c>
      <c r="O280" s="13">
        <f t="shared" si="23"/>
        <v>0</v>
      </c>
      <c r="P280" s="14">
        <f t="shared" si="24"/>
        <v>0</v>
      </c>
    </row>
    <row r="281" spans="8:16" x14ac:dyDescent="0.25">
      <c r="H281" s="6" t="s">
        <v>27</v>
      </c>
      <c r="I281" s="13">
        <f t="shared" si="21"/>
        <v>0</v>
      </c>
      <c r="J281" s="14">
        <f t="shared" si="22"/>
        <v>0</v>
      </c>
      <c r="K281" s="15" cm="1">
        <f t="array" ref="K281">AVERAGE(ABS($I$3:I281))</f>
        <v>7.5734767025089607</v>
      </c>
      <c r="L281" s="15" cm="1">
        <f t="array" ref="L281">AVERAGE(ABS($J$3:J281))</f>
        <v>0.24516129032258066</v>
      </c>
      <c r="O281" s="13">
        <f t="shared" si="23"/>
        <v>0</v>
      </c>
      <c r="P281" s="14">
        <f t="shared" si="24"/>
        <v>0</v>
      </c>
    </row>
    <row r="282" spans="8:16" x14ac:dyDescent="0.25">
      <c r="H282" s="6" t="s">
        <v>27</v>
      </c>
      <c r="I282" s="13">
        <f t="shared" si="21"/>
        <v>0</v>
      </c>
      <c r="J282" s="14">
        <f t="shared" si="22"/>
        <v>0</v>
      </c>
      <c r="K282" s="15" cm="1">
        <f t="array" ref="K282">AVERAGE(ABS($I$3:I282))</f>
        <v>7.5464285714285717</v>
      </c>
      <c r="L282" s="15" cm="1">
        <f t="array" ref="L282">AVERAGE(ABS($J$3:J282))</f>
        <v>0.2442857142857143</v>
      </c>
      <c r="O282" s="13">
        <f t="shared" si="23"/>
        <v>0</v>
      </c>
      <c r="P282" s="14">
        <f t="shared" si="24"/>
        <v>0</v>
      </c>
    </row>
    <row r="283" spans="8:16" x14ac:dyDescent="0.25">
      <c r="H283" s="6" t="s">
        <v>27</v>
      </c>
      <c r="I283" s="13">
        <f t="shared" si="21"/>
        <v>0</v>
      </c>
      <c r="J283" s="14">
        <f t="shared" si="22"/>
        <v>0</v>
      </c>
      <c r="K283" s="15" cm="1">
        <f t="array" ref="K283">AVERAGE(ABS($I$3:I283))</f>
        <v>7.5195729537366551</v>
      </c>
      <c r="L283" s="15" cm="1">
        <f t="array" ref="L283">AVERAGE(ABS($J$3:J283))</f>
        <v>0.24341637010676159</v>
      </c>
      <c r="O283" s="13">
        <f t="shared" si="23"/>
        <v>0</v>
      </c>
      <c r="P283" s="14">
        <f t="shared" si="24"/>
        <v>0</v>
      </c>
    </row>
    <row r="284" spans="8:16" x14ac:dyDescent="0.25">
      <c r="H284" s="6" t="s">
        <v>27</v>
      </c>
      <c r="I284" s="13">
        <f t="shared" si="21"/>
        <v>0</v>
      </c>
      <c r="J284" s="14">
        <f t="shared" si="22"/>
        <v>0</v>
      </c>
      <c r="K284" s="15" cm="1">
        <f t="array" ref="K284">AVERAGE(ABS($I$3:I284))</f>
        <v>7.4929078014184398</v>
      </c>
      <c r="L284" s="15" cm="1">
        <f t="array" ref="L284">AVERAGE(ABS($J$3:J284))</f>
        <v>0.24255319148936172</v>
      </c>
      <c r="O284" s="13">
        <f t="shared" si="23"/>
        <v>0</v>
      </c>
      <c r="P284" s="14">
        <f t="shared" si="24"/>
        <v>0</v>
      </c>
    </row>
    <row r="285" spans="8:16" x14ac:dyDescent="0.25">
      <c r="H285" s="6" t="s">
        <v>27</v>
      </c>
      <c r="I285" s="13">
        <f t="shared" si="21"/>
        <v>0</v>
      </c>
      <c r="J285" s="14">
        <f t="shared" si="22"/>
        <v>0</v>
      </c>
      <c r="K285" s="15" cm="1">
        <f t="array" ref="K285">AVERAGE(ABS($I$3:I285))</f>
        <v>7.4664310954063602</v>
      </c>
      <c r="L285" s="15" cm="1">
        <f t="array" ref="L285">AVERAGE(ABS($J$3:J285))</f>
        <v>0.24169611307420497</v>
      </c>
      <c r="O285" s="13">
        <f t="shared" si="23"/>
        <v>0</v>
      </c>
      <c r="P285" s="14">
        <f t="shared" si="24"/>
        <v>0</v>
      </c>
    </row>
    <row r="286" spans="8:16" x14ac:dyDescent="0.25">
      <c r="H286" s="6" t="s">
        <v>27</v>
      </c>
      <c r="I286" s="13">
        <f t="shared" si="21"/>
        <v>0</v>
      </c>
      <c r="J286" s="14">
        <f t="shared" si="22"/>
        <v>0</v>
      </c>
      <c r="K286" s="15" cm="1">
        <f t="array" ref="K286">AVERAGE(ABS($I$3:I286))</f>
        <v>7.4401408450704229</v>
      </c>
      <c r="L286" s="15" cm="1">
        <f t="array" ref="L286">AVERAGE(ABS($J$3:J286))</f>
        <v>0.24084507042253522</v>
      </c>
      <c r="O286" s="13">
        <f t="shared" si="23"/>
        <v>0</v>
      </c>
      <c r="P286" s="14">
        <f t="shared" si="24"/>
        <v>0</v>
      </c>
    </row>
    <row r="287" spans="8:16" x14ac:dyDescent="0.25">
      <c r="H287" s="6" t="s">
        <v>27</v>
      </c>
      <c r="I287" s="13">
        <f t="shared" si="21"/>
        <v>0</v>
      </c>
      <c r="J287" s="14">
        <f t="shared" si="22"/>
        <v>0</v>
      </c>
      <c r="K287" s="15" cm="1">
        <f t="array" ref="K287">AVERAGE(ABS($I$3:I287))</f>
        <v>7.4140350877192986</v>
      </c>
      <c r="L287" s="15" cm="1">
        <f t="array" ref="L287">AVERAGE(ABS($J$3:J287))</f>
        <v>0.24000000000000002</v>
      </c>
      <c r="O287" s="13">
        <f t="shared" si="23"/>
        <v>0</v>
      </c>
      <c r="P287" s="14">
        <f t="shared" si="24"/>
        <v>0</v>
      </c>
    </row>
    <row r="288" spans="8:16" x14ac:dyDescent="0.25">
      <c r="H288" s="6" t="s">
        <v>27</v>
      </c>
      <c r="I288" s="13">
        <f t="shared" si="21"/>
        <v>0</v>
      </c>
      <c r="J288" s="14">
        <f t="shared" si="22"/>
        <v>0</v>
      </c>
      <c r="K288" s="15" cm="1">
        <f t="array" ref="K288">AVERAGE(ABS($I$3:I288))</f>
        <v>7.3881118881118883</v>
      </c>
      <c r="L288" s="15" cm="1">
        <f t="array" ref="L288">AVERAGE(ABS($J$3:J288))</f>
        <v>0.23916083916083919</v>
      </c>
      <c r="O288" s="13">
        <f t="shared" si="23"/>
        <v>0</v>
      </c>
      <c r="P288" s="14">
        <f t="shared" si="24"/>
        <v>0</v>
      </c>
    </row>
    <row r="289" spans="8:16" x14ac:dyDescent="0.25">
      <c r="H289" s="6" t="s">
        <v>27</v>
      </c>
      <c r="I289" s="13">
        <f t="shared" si="21"/>
        <v>0</v>
      </c>
      <c r="J289" s="14">
        <f t="shared" si="22"/>
        <v>0</v>
      </c>
      <c r="K289" s="15" cm="1">
        <f t="array" ref="K289">AVERAGE(ABS($I$3:I289))</f>
        <v>7.3623693379790938</v>
      </c>
      <c r="L289" s="15" cm="1">
        <f t="array" ref="L289">AVERAGE(ABS($J$3:J289))</f>
        <v>0.23832752613240421</v>
      </c>
      <c r="O289" s="13">
        <f t="shared" si="23"/>
        <v>0</v>
      </c>
      <c r="P289" s="14">
        <f t="shared" si="24"/>
        <v>0</v>
      </c>
    </row>
    <row r="290" spans="8:16" x14ac:dyDescent="0.25">
      <c r="H290" s="6" t="s">
        <v>27</v>
      </c>
      <c r="I290" s="13">
        <f t="shared" si="21"/>
        <v>0</v>
      </c>
      <c r="J290" s="14">
        <f t="shared" si="22"/>
        <v>0</v>
      </c>
      <c r="K290" s="15" cm="1">
        <f t="array" ref="K290">AVERAGE(ABS($I$3:I290))</f>
        <v>7.3368055555555554</v>
      </c>
      <c r="L290" s="15" cm="1">
        <f t="array" ref="L290">AVERAGE(ABS($J$3:J290))</f>
        <v>0.23750000000000002</v>
      </c>
      <c r="O290" s="13">
        <f t="shared" si="23"/>
        <v>0</v>
      </c>
      <c r="P290" s="14">
        <f t="shared" si="24"/>
        <v>0</v>
      </c>
    </row>
    <row r="291" spans="8:16" x14ac:dyDescent="0.25">
      <c r="H291" s="6" t="s">
        <v>27</v>
      </c>
      <c r="I291" s="13">
        <f t="shared" si="21"/>
        <v>0</v>
      </c>
      <c r="J291" s="14">
        <f t="shared" si="22"/>
        <v>0</v>
      </c>
      <c r="K291" s="15" cm="1">
        <f t="array" ref="K291">AVERAGE(ABS($I$3:I291))</f>
        <v>7.3114186851211072</v>
      </c>
      <c r="L291" s="15" cm="1">
        <f t="array" ref="L291">AVERAGE(ABS($J$3:J291))</f>
        <v>0.23667820069204154</v>
      </c>
      <c r="O291" s="13">
        <f t="shared" si="23"/>
        <v>0</v>
      </c>
      <c r="P291" s="14">
        <f t="shared" si="24"/>
        <v>0</v>
      </c>
    </row>
    <row r="292" spans="8:16" x14ac:dyDescent="0.25">
      <c r="H292" s="6" t="s">
        <v>27</v>
      </c>
      <c r="I292" s="13">
        <f t="shared" si="21"/>
        <v>0</v>
      </c>
      <c r="J292" s="14">
        <f t="shared" si="22"/>
        <v>0</v>
      </c>
      <c r="K292" s="15" cm="1">
        <f t="array" ref="K292">AVERAGE(ABS($I$3:I292))</f>
        <v>7.2862068965517244</v>
      </c>
      <c r="L292" s="15" cm="1">
        <f t="array" ref="L292">AVERAGE(ABS($J$3:J292))</f>
        <v>0.23586206896551726</v>
      </c>
      <c r="O292" s="13">
        <f t="shared" si="23"/>
        <v>0</v>
      </c>
      <c r="P292" s="14">
        <f t="shared" si="24"/>
        <v>0</v>
      </c>
    </row>
    <row r="293" spans="8:16" x14ac:dyDescent="0.25">
      <c r="H293" s="6" t="s">
        <v>27</v>
      </c>
      <c r="I293" s="13">
        <f t="shared" si="21"/>
        <v>0</v>
      </c>
      <c r="J293" s="14">
        <f t="shared" si="22"/>
        <v>0</v>
      </c>
      <c r="K293" s="15" cm="1">
        <f t="array" ref="K293">AVERAGE(ABS($I$3:I293))</f>
        <v>7.261168384879725</v>
      </c>
      <c r="L293" s="15" cm="1">
        <f t="array" ref="L293">AVERAGE(ABS($J$3:J293))</f>
        <v>0.2350515463917526</v>
      </c>
      <c r="O293" s="13">
        <f t="shared" si="23"/>
        <v>0</v>
      </c>
      <c r="P293" s="14">
        <f t="shared" si="24"/>
        <v>0</v>
      </c>
    </row>
    <row r="294" spans="8:16" x14ac:dyDescent="0.25">
      <c r="H294" s="6" t="s">
        <v>27</v>
      </c>
      <c r="I294" s="13">
        <f t="shared" si="21"/>
        <v>0</v>
      </c>
      <c r="J294" s="14">
        <f t="shared" si="22"/>
        <v>0</v>
      </c>
      <c r="K294" s="15" cm="1">
        <f t="array" ref="K294">AVERAGE(ABS($I$3:I294))</f>
        <v>7.2363013698630141</v>
      </c>
      <c r="L294" s="15" cm="1">
        <f t="array" ref="L294">AVERAGE(ABS($J$3:J294))</f>
        <v>0.23424657534246576</v>
      </c>
      <c r="O294" s="13">
        <f t="shared" si="23"/>
        <v>0</v>
      </c>
      <c r="P294" s="14">
        <f t="shared" si="24"/>
        <v>0</v>
      </c>
    </row>
    <row r="295" spans="8:16" x14ac:dyDescent="0.25">
      <c r="H295" s="6" t="s">
        <v>27</v>
      </c>
      <c r="I295" s="13">
        <f t="shared" si="21"/>
        <v>0</v>
      </c>
      <c r="J295" s="14">
        <f t="shared" si="22"/>
        <v>0</v>
      </c>
      <c r="K295" s="15" cm="1">
        <f t="array" ref="K295">AVERAGE(ABS($I$3:I295))</f>
        <v>7.21160409556314</v>
      </c>
      <c r="L295" s="15" cm="1">
        <f t="array" ref="L295">AVERAGE(ABS($J$3:J295))</f>
        <v>0.23344709897610924</v>
      </c>
      <c r="O295" s="13">
        <f t="shared" si="23"/>
        <v>0</v>
      </c>
      <c r="P295" s="14">
        <f t="shared" si="24"/>
        <v>0</v>
      </c>
    </row>
    <row r="296" spans="8:16" x14ac:dyDescent="0.25">
      <c r="H296" s="6" t="s">
        <v>27</v>
      </c>
      <c r="I296" s="13">
        <f t="shared" si="21"/>
        <v>0</v>
      </c>
      <c r="J296" s="14">
        <f t="shared" si="22"/>
        <v>0</v>
      </c>
      <c r="K296" s="15" cm="1">
        <f t="array" ref="K296">AVERAGE(ABS($I$3:I296))</f>
        <v>7.1870748299319729</v>
      </c>
      <c r="L296" s="15" cm="1">
        <f t="array" ref="L296">AVERAGE(ABS($J$3:J296))</f>
        <v>0.23265306122448981</v>
      </c>
      <c r="O296" s="13">
        <f t="shared" si="23"/>
        <v>0</v>
      </c>
      <c r="P296" s="14">
        <f t="shared" si="24"/>
        <v>0</v>
      </c>
    </row>
    <row r="297" spans="8:16" x14ac:dyDescent="0.25">
      <c r="H297" s="6" t="s">
        <v>27</v>
      </c>
      <c r="I297" s="13">
        <f t="shared" si="21"/>
        <v>0</v>
      </c>
      <c r="J297" s="14">
        <f t="shared" si="22"/>
        <v>0</v>
      </c>
      <c r="K297" s="15" cm="1">
        <f t="array" ref="K297">AVERAGE(ABS($I$3:I297))</f>
        <v>7.1627118644067798</v>
      </c>
      <c r="L297" s="15" cm="1">
        <f t="array" ref="L297">AVERAGE(ABS($J$3:J297))</f>
        <v>0.23186440677966103</v>
      </c>
      <c r="O297" s="13">
        <f t="shared" si="23"/>
        <v>0</v>
      </c>
      <c r="P297" s="14">
        <f t="shared" si="24"/>
        <v>0</v>
      </c>
    </row>
    <row r="298" spans="8:16" x14ac:dyDescent="0.25">
      <c r="H298" s="6" t="s">
        <v>27</v>
      </c>
      <c r="I298" s="13">
        <f t="shared" si="21"/>
        <v>0</v>
      </c>
      <c r="J298" s="14">
        <f t="shared" si="22"/>
        <v>0</v>
      </c>
      <c r="K298" s="15" cm="1">
        <f t="array" ref="K298">AVERAGE(ABS($I$3:I298))</f>
        <v>7.1385135135135132</v>
      </c>
      <c r="L298" s="15" cm="1">
        <f t="array" ref="L298">AVERAGE(ABS($J$3:J298))</f>
        <v>0.23108108108108111</v>
      </c>
      <c r="O298" s="13">
        <f t="shared" si="23"/>
        <v>0</v>
      </c>
      <c r="P298" s="14">
        <f t="shared" si="24"/>
        <v>0</v>
      </c>
    </row>
    <row r="299" spans="8:16" x14ac:dyDescent="0.25">
      <c r="H299" s="6" t="s">
        <v>27</v>
      </c>
      <c r="I299" s="13">
        <f t="shared" si="21"/>
        <v>0</v>
      </c>
      <c r="J299" s="14">
        <f t="shared" si="22"/>
        <v>0</v>
      </c>
      <c r="K299" s="15" cm="1">
        <f t="array" ref="K299">AVERAGE(ABS($I$3:I299))</f>
        <v>7.1144781144781142</v>
      </c>
      <c r="L299" s="15" cm="1">
        <f t="array" ref="L299">AVERAGE(ABS($J$3:J299))</f>
        <v>0.23030303030303031</v>
      </c>
      <c r="O299" s="13">
        <f t="shared" si="23"/>
        <v>0</v>
      </c>
      <c r="P299" s="14">
        <f t="shared" si="24"/>
        <v>0</v>
      </c>
    </row>
    <row r="300" spans="8:16" x14ac:dyDescent="0.25">
      <c r="H300" s="6" t="s">
        <v>27</v>
      </c>
      <c r="I300" s="13">
        <f t="shared" si="21"/>
        <v>0</v>
      </c>
      <c r="J300" s="14">
        <f t="shared" si="22"/>
        <v>0</v>
      </c>
      <c r="K300" s="15" cm="1">
        <f t="array" ref="K300">AVERAGE(ABS($I$3:I300))</f>
        <v>7.0906040268456376</v>
      </c>
      <c r="L300" s="15" cm="1">
        <f t="array" ref="L300">AVERAGE(ABS($J$3:J300))</f>
        <v>0.22953020134228189</v>
      </c>
      <c r="O300" s="13">
        <f t="shared" si="23"/>
        <v>0</v>
      </c>
      <c r="P300" s="14">
        <f t="shared" si="24"/>
        <v>0</v>
      </c>
    </row>
    <row r="301" spans="8:16" x14ac:dyDescent="0.25">
      <c r="H301" s="6" t="s">
        <v>27</v>
      </c>
      <c r="I301" s="13">
        <f t="shared" si="21"/>
        <v>0</v>
      </c>
      <c r="J301" s="14">
        <f t="shared" si="22"/>
        <v>0</v>
      </c>
      <c r="K301" s="15" cm="1">
        <f t="array" ref="K301">AVERAGE(ABS($I$3:I301))</f>
        <v>7.0668896321070234</v>
      </c>
      <c r="L301" s="15" cm="1">
        <f t="array" ref="L301">AVERAGE(ABS($J$3:J301))</f>
        <v>0.2287625418060201</v>
      </c>
      <c r="O301" s="13">
        <f t="shared" si="23"/>
        <v>0</v>
      </c>
      <c r="P301" s="14">
        <f t="shared" si="24"/>
        <v>0</v>
      </c>
    </row>
    <row r="302" spans="8:16" x14ac:dyDescent="0.25">
      <c r="H302" s="6" t="s">
        <v>27</v>
      </c>
      <c r="I302" s="13">
        <f t="shared" si="21"/>
        <v>0</v>
      </c>
      <c r="J302" s="14">
        <f t="shared" si="22"/>
        <v>0</v>
      </c>
      <c r="K302" s="15" cm="1">
        <f t="array" ref="K302">AVERAGE(ABS($I$3:I302))</f>
        <v>7.043333333333333</v>
      </c>
      <c r="L302" s="15" cm="1">
        <f t="array" ref="L302">AVERAGE(ABS($J$3:J302))</f>
        <v>0.22800000000000001</v>
      </c>
      <c r="O302" s="13">
        <f t="shared" si="23"/>
        <v>0</v>
      </c>
      <c r="P302" s="14">
        <f t="shared" si="24"/>
        <v>0</v>
      </c>
    </row>
    <row r="303" spans="8:16" x14ac:dyDescent="0.25">
      <c r="H303" s="6" t="s">
        <v>27</v>
      </c>
      <c r="I303" s="13">
        <f t="shared" si="21"/>
        <v>0</v>
      </c>
      <c r="J303" s="14">
        <f t="shared" si="22"/>
        <v>0</v>
      </c>
      <c r="K303" s="15" cm="1">
        <f t="array" ref="K303">AVERAGE(ABS($I$3:I303))</f>
        <v>7.0199335548172757</v>
      </c>
      <c r="L303" s="15" cm="1">
        <f t="array" ref="L303">AVERAGE(ABS($J$3:J303))</f>
        <v>0.22724252491694355</v>
      </c>
      <c r="O303" s="13">
        <f t="shared" si="23"/>
        <v>0</v>
      </c>
      <c r="P303" s="14">
        <f t="shared" si="24"/>
        <v>0</v>
      </c>
    </row>
    <row r="304" spans="8:16" x14ac:dyDescent="0.25">
      <c r="H304" s="6" t="s">
        <v>27</v>
      </c>
      <c r="I304" s="13">
        <f t="shared" si="21"/>
        <v>0</v>
      </c>
      <c r="J304" s="14">
        <f t="shared" si="22"/>
        <v>0</v>
      </c>
      <c r="K304" s="15" cm="1">
        <f t="array" ref="K304">AVERAGE(ABS($I$3:I304))</f>
        <v>6.9966887417218544</v>
      </c>
      <c r="L304" s="15" cm="1">
        <f t="array" ref="L304">AVERAGE(ABS($J$3:J304))</f>
        <v>0.22649006622516557</v>
      </c>
      <c r="O304" s="13">
        <f t="shared" si="23"/>
        <v>0</v>
      </c>
      <c r="P304" s="14">
        <f t="shared" si="24"/>
        <v>0</v>
      </c>
    </row>
    <row r="305" spans="8:16" x14ac:dyDescent="0.25">
      <c r="H305" s="6" t="s">
        <v>27</v>
      </c>
      <c r="I305" s="13">
        <f t="shared" si="21"/>
        <v>0</v>
      </c>
      <c r="J305" s="14">
        <f t="shared" si="22"/>
        <v>0</v>
      </c>
      <c r="K305" s="15" cm="1">
        <f t="array" ref="K305">AVERAGE(ABS($I$3:I305))</f>
        <v>6.9735973597359733</v>
      </c>
      <c r="L305" s="15" cm="1">
        <f t="array" ref="L305">AVERAGE(ABS($J$3:J305))</f>
        <v>0.22574257425742575</v>
      </c>
      <c r="O305" s="13">
        <f t="shared" si="23"/>
        <v>0</v>
      </c>
      <c r="P305" s="14">
        <f t="shared" si="24"/>
        <v>0</v>
      </c>
    </row>
    <row r="306" spans="8:16" x14ac:dyDescent="0.25">
      <c r="H306" s="6" t="s">
        <v>27</v>
      </c>
      <c r="I306" s="13">
        <f t="shared" si="21"/>
        <v>0</v>
      </c>
      <c r="J306" s="14">
        <f t="shared" si="22"/>
        <v>0</v>
      </c>
      <c r="K306" s="15" cm="1">
        <f t="array" ref="K306">AVERAGE(ABS($I$3:I306))</f>
        <v>6.9506578947368425</v>
      </c>
      <c r="L306" s="15" cm="1">
        <f t="array" ref="L306">AVERAGE(ABS($J$3:J306))</f>
        <v>0.22500000000000001</v>
      </c>
      <c r="O306" s="13">
        <f t="shared" si="23"/>
        <v>0</v>
      </c>
      <c r="P306" s="14">
        <f t="shared" si="24"/>
        <v>0</v>
      </c>
    </row>
    <row r="307" spans="8:16" x14ac:dyDescent="0.25">
      <c r="H307" s="6" t="s">
        <v>27</v>
      </c>
      <c r="I307" s="13">
        <f t="shared" si="21"/>
        <v>0</v>
      </c>
      <c r="J307" s="14">
        <f t="shared" si="22"/>
        <v>0</v>
      </c>
      <c r="K307" s="15" cm="1">
        <f t="array" ref="K307">AVERAGE(ABS($I$3:I307))</f>
        <v>6.9278688524590164</v>
      </c>
      <c r="L307" s="15" cm="1">
        <f t="array" ref="L307">AVERAGE(ABS($J$3:J307))</f>
        <v>0.22426229508196724</v>
      </c>
      <c r="O307" s="13">
        <f t="shared" si="23"/>
        <v>0</v>
      </c>
      <c r="P307" s="14">
        <f t="shared" si="24"/>
        <v>0</v>
      </c>
    </row>
    <row r="308" spans="8:16" x14ac:dyDescent="0.25">
      <c r="H308" s="6" t="s">
        <v>27</v>
      </c>
      <c r="I308" s="13">
        <f t="shared" si="21"/>
        <v>0</v>
      </c>
      <c r="J308" s="14">
        <f t="shared" si="22"/>
        <v>0</v>
      </c>
      <c r="K308" s="15" cm="1">
        <f t="array" ref="K308">AVERAGE(ABS($I$3:I308))</f>
        <v>6.905228758169935</v>
      </c>
      <c r="L308" s="15" cm="1">
        <f t="array" ref="L308">AVERAGE(ABS($J$3:J308))</f>
        <v>0.22352941176470589</v>
      </c>
      <c r="O308" s="13">
        <f t="shared" si="23"/>
        <v>0</v>
      </c>
      <c r="P308" s="14">
        <f t="shared" si="24"/>
        <v>0</v>
      </c>
    </row>
    <row r="309" spans="8:16" x14ac:dyDescent="0.25">
      <c r="H309" s="6" t="s">
        <v>27</v>
      </c>
      <c r="I309" s="13">
        <f t="shared" si="21"/>
        <v>0</v>
      </c>
      <c r="J309" s="14">
        <f t="shared" si="22"/>
        <v>0</v>
      </c>
      <c r="K309" s="15" cm="1">
        <f t="array" ref="K309">AVERAGE(ABS($I$3:I309))</f>
        <v>6.8827361563517915</v>
      </c>
      <c r="L309" s="15" cm="1">
        <f t="array" ref="L309">AVERAGE(ABS($J$3:J309))</f>
        <v>0.22280130293159611</v>
      </c>
      <c r="O309" s="13">
        <f t="shared" si="23"/>
        <v>0</v>
      </c>
      <c r="P309" s="14">
        <f t="shared" si="24"/>
        <v>0</v>
      </c>
    </row>
    <row r="310" spans="8:16" x14ac:dyDescent="0.25">
      <c r="H310" s="6" t="s">
        <v>27</v>
      </c>
      <c r="I310" s="13">
        <f t="shared" si="21"/>
        <v>0</v>
      </c>
      <c r="J310" s="14">
        <f t="shared" si="22"/>
        <v>0</v>
      </c>
      <c r="K310" s="15" cm="1">
        <f t="array" ref="K310">AVERAGE(ABS($I$3:I310))</f>
        <v>6.8603896103896105</v>
      </c>
      <c r="L310" s="15" cm="1">
        <f t="array" ref="L310">AVERAGE(ABS($J$3:J310))</f>
        <v>0.2220779220779221</v>
      </c>
      <c r="O310" s="13">
        <f t="shared" si="23"/>
        <v>0</v>
      </c>
      <c r="P310" s="14">
        <f t="shared" si="24"/>
        <v>0</v>
      </c>
    </row>
    <row r="311" spans="8:16" x14ac:dyDescent="0.25">
      <c r="H311" s="6" t="s">
        <v>27</v>
      </c>
      <c r="I311" s="13">
        <f t="shared" si="21"/>
        <v>0</v>
      </c>
      <c r="J311" s="14">
        <f t="shared" si="22"/>
        <v>0</v>
      </c>
      <c r="K311" s="15" cm="1">
        <f t="array" ref="K311">AVERAGE(ABS($I$3:I311))</f>
        <v>6.8381877022653725</v>
      </c>
      <c r="L311" s="15" cm="1">
        <f t="array" ref="L311">AVERAGE(ABS($J$3:J311))</f>
        <v>0.22135922330097088</v>
      </c>
      <c r="O311" s="13">
        <f t="shared" si="23"/>
        <v>0</v>
      </c>
      <c r="P311" s="14">
        <f t="shared" si="24"/>
        <v>0</v>
      </c>
    </row>
    <row r="312" spans="8:16" x14ac:dyDescent="0.25">
      <c r="H312" s="6" t="s">
        <v>27</v>
      </c>
      <c r="I312" s="13">
        <f t="shared" si="21"/>
        <v>0</v>
      </c>
      <c r="J312" s="14">
        <f t="shared" si="22"/>
        <v>0</v>
      </c>
      <c r="K312" s="15" cm="1">
        <f t="array" ref="K312">AVERAGE(ABS($I$3:I312))</f>
        <v>6.8161290322580648</v>
      </c>
      <c r="L312" s="15" cm="1">
        <f t="array" ref="L312">AVERAGE(ABS($J$3:J312))</f>
        <v>0.22064516129032261</v>
      </c>
      <c r="O312" s="13">
        <f t="shared" si="23"/>
        <v>0</v>
      </c>
      <c r="P312" s="14">
        <f t="shared" si="24"/>
        <v>0</v>
      </c>
    </row>
    <row r="313" spans="8:16" x14ac:dyDescent="0.25">
      <c r="H313" s="6" t="s">
        <v>27</v>
      </c>
      <c r="I313" s="13">
        <f t="shared" si="21"/>
        <v>0</v>
      </c>
      <c r="J313" s="14">
        <f t="shared" si="22"/>
        <v>0</v>
      </c>
      <c r="K313" s="15" cm="1">
        <f t="array" ref="K313">AVERAGE(ABS($I$3:I313))</f>
        <v>6.794212218649518</v>
      </c>
      <c r="L313" s="15" cm="1">
        <f t="array" ref="L313">AVERAGE(ABS($J$3:J313))</f>
        <v>0.21993569131832799</v>
      </c>
      <c r="O313" s="13">
        <f t="shared" si="23"/>
        <v>0</v>
      </c>
      <c r="P313" s="14">
        <f t="shared" si="24"/>
        <v>0</v>
      </c>
    </row>
    <row r="314" spans="8:16" x14ac:dyDescent="0.25">
      <c r="H314" s="6" t="s">
        <v>27</v>
      </c>
      <c r="I314" s="13">
        <f t="shared" si="21"/>
        <v>0</v>
      </c>
      <c r="J314" s="14">
        <f t="shared" si="22"/>
        <v>0</v>
      </c>
      <c r="K314" s="15" cm="1">
        <f t="array" ref="K314">AVERAGE(ABS($I$3:I314))</f>
        <v>6.7724358974358978</v>
      </c>
      <c r="L314" s="15" cm="1">
        <f t="array" ref="L314">AVERAGE(ABS($J$3:J314))</f>
        <v>0.21923076923076926</v>
      </c>
      <c r="O314" s="13">
        <f t="shared" si="23"/>
        <v>0</v>
      </c>
      <c r="P314" s="14">
        <f t="shared" si="24"/>
        <v>0</v>
      </c>
    </row>
    <row r="315" spans="8:16" x14ac:dyDescent="0.25">
      <c r="H315" s="6" t="s">
        <v>27</v>
      </c>
      <c r="I315" s="13">
        <f t="shared" si="21"/>
        <v>0</v>
      </c>
      <c r="J315" s="14">
        <f t="shared" si="22"/>
        <v>0</v>
      </c>
      <c r="K315" s="15" cm="1">
        <f t="array" ref="K315">AVERAGE(ABS($I$3:I315))</f>
        <v>6.7507987220447285</v>
      </c>
      <c r="L315" s="15" cm="1">
        <f t="array" ref="L315">AVERAGE(ABS($J$3:J315))</f>
        <v>0.21853035143769969</v>
      </c>
      <c r="O315" s="13">
        <f t="shared" si="23"/>
        <v>0</v>
      </c>
      <c r="P315" s="14">
        <f t="shared" si="24"/>
        <v>0</v>
      </c>
    </row>
    <row r="316" spans="8:16" x14ac:dyDescent="0.25">
      <c r="H316" s="6" t="s">
        <v>27</v>
      </c>
      <c r="I316" s="13">
        <f t="shared" si="21"/>
        <v>0</v>
      </c>
      <c r="J316" s="14">
        <f t="shared" si="22"/>
        <v>0</v>
      </c>
      <c r="K316" s="15" cm="1">
        <f t="array" ref="K316">AVERAGE(ABS($I$3:I316))</f>
        <v>6.7292993630573248</v>
      </c>
      <c r="L316" s="15" cm="1">
        <f t="array" ref="L316">AVERAGE(ABS($J$3:J316))</f>
        <v>0.21783439490445861</v>
      </c>
      <c r="O316" s="13">
        <f t="shared" si="23"/>
        <v>0</v>
      </c>
      <c r="P316" s="14">
        <f t="shared" si="24"/>
        <v>0</v>
      </c>
    </row>
    <row r="317" spans="8:16" x14ac:dyDescent="0.25">
      <c r="H317" s="6" t="s">
        <v>27</v>
      </c>
      <c r="I317" s="13">
        <f t="shared" si="21"/>
        <v>0</v>
      </c>
      <c r="J317" s="14">
        <f t="shared" si="22"/>
        <v>0</v>
      </c>
      <c r="K317" s="15" cm="1">
        <f t="array" ref="K317">AVERAGE(ABS($I$3:I317))</f>
        <v>6.7079365079365081</v>
      </c>
      <c r="L317" s="15" cm="1">
        <f t="array" ref="L317">AVERAGE(ABS($J$3:J317))</f>
        <v>0.21714285714285717</v>
      </c>
      <c r="O317" s="13">
        <f t="shared" si="23"/>
        <v>0</v>
      </c>
      <c r="P317" s="14">
        <f t="shared" si="24"/>
        <v>0</v>
      </c>
    </row>
    <row r="318" spans="8:16" x14ac:dyDescent="0.25">
      <c r="H318" s="6" t="s">
        <v>27</v>
      </c>
      <c r="I318" s="13">
        <f t="shared" si="21"/>
        <v>0</v>
      </c>
      <c r="J318" s="14">
        <f t="shared" si="22"/>
        <v>0</v>
      </c>
      <c r="K318" s="15" cm="1">
        <f t="array" ref="K318">AVERAGE(ABS($I$3:I318))</f>
        <v>6.6867088607594933</v>
      </c>
      <c r="L318" s="15" cm="1">
        <f t="array" ref="L318">AVERAGE(ABS($J$3:J318))</f>
        <v>0.21645569620253166</v>
      </c>
      <c r="O318" s="13">
        <f t="shared" si="23"/>
        <v>0</v>
      </c>
      <c r="P318" s="14">
        <f t="shared" si="24"/>
        <v>0</v>
      </c>
    </row>
    <row r="319" spans="8:16" x14ac:dyDescent="0.25">
      <c r="H319" s="6" t="s">
        <v>27</v>
      </c>
      <c r="I319" s="13">
        <f t="shared" si="21"/>
        <v>0</v>
      </c>
      <c r="J319" s="14">
        <f t="shared" si="22"/>
        <v>0</v>
      </c>
      <c r="K319" s="15" cm="1">
        <f t="array" ref="K319">AVERAGE(ABS($I$3:I319))</f>
        <v>6.6656151419558363</v>
      </c>
      <c r="L319" s="15" cm="1">
        <f t="array" ref="L319">AVERAGE(ABS($J$3:J319))</f>
        <v>0.21577287066246059</v>
      </c>
      <c r="O319" s="13">
        <f t="shared" si="23"/>
        <v>0</v>
      </c>
      <c r="P319" s="14">
        <f t="shared" si="24"/>
        <v>0</v>
      </c>
    </row>
    <row r="320" spans="8:16" x14ac:dyDescent="0.25">
      <c r="H320" s="6" t="s">
        <v>27</v>
      </c>
      <c r="I320" s="13">
        <f t="shared" si="21"/>
        <v>0</v>
      </c>
      <c r="J320" s="14">
        <f t="shared" si="22"/>
        <v>0</v>
      </c>
      <c r="K320" s="15" cm="1">
        <f t="array" ref="K320">AVERAGE(ABS($I$3:I320))</f>
        <v>6.6446540880503147</v>
      </c>
      <c r="L320" s="15" cm="1">
        <f t="array" ref="L320">AVERAGE(ABS($J$3:J320))</f>
        <v>0.21509433962264152</v>
      </c>
      <c r="O320" s="13">
        <f t="shared" si="23"/>
        <v>0</v>
      </c>
      <c r="P320" s="14">
        <f t="shared" si="24"/>
        <v>0</v>
      </c>
    </row>
    <row r="321" spans="8:16" x14ac:dyDescent="0.25">
      <c r="H321" s="6" t="s">
        <v>27</v>
      </c>
      <c r="I321" s="13">
        <f t="shared" si="21"/>
        <v>0</v>
      </c>
      <c r="J321" s="14">
        <f t="shared" si="22"/>
        <v>0</v>
      </c>
      <c r="K321" s="15" cm="1">
        <f t="array" ref="K321">AVERAGE(ABS($I$3:I321))</f>
        <v>6.6238244514106581</v>
      </c>
      <c r="L321" s="15" cm="1">
        <f t="array" ref="L321">AVERAGE(ABS($J$3:J321))</f>
        <v>0.21442006269592478</v>
      </c>
      <c r="O321" s="13">
        <f t="shared" si="23"/>
        <v>0</v>
      </c>
      <c r="P321" s="14">
        <f t="shared" si="24"/>
        <v>0</v>
      </c>
    </row>
    <row r="322" spans="8:16" x14ac:dyDescent="0.25">
      <c r="H322" s="6" t="s">
        <v>27</v>
      </c>
      <c r="I322" s="13">
        <f t="shared" si="21"/>
        <v>0</v>
      </c>
      <c r="J322" s="14">
        <f t="shared" si="22"/>
        <v>0</v>
      </c>
      <c r="K322" s="15" cm="1">
        <f t="array" ref="K322">AVERAGE(ABS($I$3:I322))</f>
        <v>6.6031250000000004</v>
      </c>
      <c r="L322" s="15" cm="1">
        <f t="array" ref="L322">AVERAGE(ABS($J$3:J322))</f>
        <v>0.21375000000000002</v>
      </c>
      <c r="O322" s="13">
        <f t="shared" si="23"/>
        <v>0</v>
      </c>
      <c r="P322" s="14">
        <f t="shared" si="24"/>
        <v>0</v>
      </c>
    </row>
    <row r="323" spans="8:16" x14ac:dyDescent="0.25">
      <c r="H323" s="6" t="s">
        <v>27</v>
      </c>
      <c r="I323" s="13">
        <f t="shared" si="21"/>
        <v>0</v>
      </c>
      <c r="J323" s="14">
        <f t="shared" si="22"/>
        <v>0</v>
      </c>
      <c r="K323" s="15" cm="1">
        <f t="array" ref="K323">AVERAGE(ABS($I$3:I323))</f>
        <v>6.5825545171339561</v>
      </c>
      <c r="L323" s="15" cm="1">
        <f t="array" ref="L323">AVERAGE(ABS($J$3:J323))</f>
        <v>0.21308411214953274</v>
      </c>
      <c r="O323" s="13">
        <f t="shared" si="23"/>
        <v>0</v>
      </c>
      <c r="P323" s="14">
        <f t="shared" si="24"/>
        <v>0</v>
      </c>
    </row>
    <row r="324" spans="8:16" x14ac:dyDescent="0.25">
      <c r="H324" s="6" t="s">
        <v>27</v>
      </c>
      <c r="I324" s="13">
        <f t="shared" ref="I324:I387" si="25">(E324-D324)</f>
        <v>0</v>
      </c>
      <c r="J324" s="14">
        <f t="shared" ref="J324:J387" si="26">(G324-F324)</f>
        <v>0</v>
      </c>
      <c r="K324" s="15" cm="1">
        <f t="array" ref="K324">AVERAGE(ABS($I$3:I324))</f>
        <v>6.5621118012422359</v>
      </c>
      <c r="L324" s="15" cm="1">
        <f t="array" ref="L324">AVERAGE(ABS($J$3:J324))</f>
        <v>0.21242236024844721</v>
      </c>
      <c r="O324" s="13">
        <f t="shared" ref="O324:O387" si="27">(M324-D324)</f>
        <v>0</v>
      </c>
      <c r="P324" s="14">
        <f t="shared" ref="P324:P387" si="28">(N324-F324)</f>
        <v>0</v>
      </c>
    </row>
    <row r="325" spans="8:16" x14ac:dyDescent="0.25">
      <c r="H325" s="6" t="s">
        <v>27</v>
      </c>
      <c r="I325" s="13">
        <f t="shared" si="25"/>
        <v>0</v>
      </c>
      <c r="J325" s="14">
        <f t="shared" si="26"/>
        <v>0</v>
      </c>
      <c r="K325" s="15" cm="1">
        <f t="array" ref="K325">AVERAGE(ABS($I$3:I325))</f>
        <v>6.541795665634675</v>
      </c>
      <c r="L325" s="15" cm="1">
        <f t="array" ref="L325">AVERAGE(ABS($J$3:J325))</f>
        <v>0.21176470588235297</v>
      </c>
      <c r="O325" s="13">
        <f t="shared" si="27"/>
        <v>0</v>
      </c>
      <c r="P325" s="14">
        <f t="shared" si="28"/>
        <v>0</v>
      </c>
    </row>
    <row r="326" spans="8:16" x14ac:dyDescent="0.25">
      <c r="H326" s="6" t="s">
        <v>27</v>
      </c>
      <c r="I326" s="13">
        <f t="shared" si="25"/>
        <v>0</v>
      </c>
      <c r="J326" s="14">
        <f t="shared" si="26"/>
        <v>0</v>
      </c>
      <c r="K326" s="15" cm="1">
        <f t="array" ref="K326">AVERAGE(ABS($I$3:I326))</f>
        <v>6.5216049382716053</v>
      </c>
      <c r="L326" s="15" cm="1">
        <f t="array" ref="L326">AVERAGE(ABS($J$3:J326))</f>
        <v>0.21111111111111114</v>
      </c>
      <c r="O326" s="13">
        <f t="shared" si="27"/>
        <v>0</v>
      </c>
      <c r="P326" s="14">
        <f t="shared" si="28"/>
        <v>0</v>
      </c>
    </row>
    <row r="327" spans="8:16" x14ac:dyDescent="0.25">
      <c r="H327" s="6" t="s">
        <v>27</v>
      </c>
      <c r="I327" s="13">
        <f t="shared" si="25"/>
        <v>0</v>
      </c>
      <c r="J327" s="14">
        <f t="shared" si="26"/>
        <v>0</v>
      </c>
      <c r="K327" s="15" cm="1">
        <f t="array" ref="K327">AVERAGE(ABS($I$3:I327))</f>
        <v>6.5015384615384617</v>
      </c>
      <c r="L327" s="15" cm="1">
        <f t="array" ref="L327">AVERAGE(ABS($J$3:J327))</f>
        <v>0.21046153846153848</v>
      </c>
      <c r="O327" s="13">
        <f t="shared" si="27"/>
        <v>0</v>
      </c>
      <c r="P327" s="14">
        <f t="shared" si="28"/>
        <v>0</v>
      </c>
    </row>
    <row r="328" spans="8:16" x14ac:dyDescent="0.25">
      <c r="H328" s="6" t="s">
        <v>27</v>
      </c>
      <c r="I328" s="13">
        <f t="shared" si="25"/>
        <v>0</v>
      </c>
      <c r="J328" s="14">
        <f t="shared" si="26"/>
        <v>0</v>
      </c>
      <c r="K328" s="15" cm="1">
        <f t="array" ref="K328">AVERAGE(ABS($I$3:I328))</f>
        <v>6.4815950920245395</v>
      </c>
      <c r="L328" s="15" cm="1">
        <f t="array" ref="L328">AVERAGE(ABS($J$3:J328))</f>
        <v>0.20981595092024541</v>
      </c>
      <c r="O328" s="13">
        <f t="shared" si="27"/>
        <v>0</v>
      </c>
      <c r="P328" s="14">
        <f t="shared" si="28"/>
        <v>0</v>
      </c>
    </row>
    <row r="329" spans="8:16" x14ac:dyDescent="0.25">
      <c r="H329" s="6" t="s">
        <v>27</v>
      </c>
      <c r="I329" s="13">
        <f t="shared" si="25"/>
        <v>0</v>
      </c>
      <c r="J329" s="14">
        <f t="shared" si="26"/>
        <v>0</v>
      </c>
      <c r="K329" s="15" cm="1">
        <f t="array" ref="K329">AVERAGE(ABS($I$3:I329))</f>
        <v>6.4617737003058107</v>
      </c>
      <c r="L329" s="15" cm="1">
        <f t="array" ref="L329">AVERAGE(ABS($J$3:J329))</f>
        <v>0.20917431192660552</v>
      </c>
      <c r="O329" s="13">
        <f t="shared" si="27"/>
        <v>0</v>
      </c>
      <c r="P329" s="14">
        <f t="shared" si="28"/>
        <v>0</v>
      </c>
    </row>
    <row r="330" spans="8:16" x14ac:dyDescent="0.25">
      <c r="H330" s="6" t="s">
        <v>27</v>
      </c>
      <c r="I330" s="13">
        <f t="shared" si="25"/>
        <v>0</v>
      </c>
      <c r="J330" s="14">
        <f t="shared" si="26"/>
        <v>0</v>
      </c>
      <c r="K330" s="15" cm="1">
        <f t="array" ref="K330">AVERAGE(ABS($I$3:I330))</f>
        <v>6.4420731707317076</v>
      </c>
      <c r="L330" s="15" cm="1">
        <f t="array" ref="L330">AVERAGE(ABS($J$3:J330))</f>
        <v>0.20853658536585368</v>
      </c>
      <c r="O330" s="13">
        <f t="shared" si="27"/>
        <v>0</v>
      </c>
      <c r="P330" s="14">
        <f t="shared" si="28"/>
        <v>0</v>
      </c>
    </row>
    <row r="331" spans="8:16" x14ac:dyDescent="0.25">
      <c r="H331" s="6" t="s">
        <v>27</v>
      </c>
      <c r="I331" s="13">
        <f t="shared" si="25"/>
        <v>0</v>
      </c>
      <c r="J331" s="14">
        <f t="shared" si="26"/>
        <v>0</v>
      </c>
      <c r="K331" s="15" cm="1">
        <f t="array" ref="K331">AVERAGE(ABS($I$3:I331))</f>
        <v>6.4224924012158056</v>
      </c>
      <c r="L331" s="15" cm="1">
        <f t="array" ref="L331">AVERAGE(ABS($J$3:J331))</f>
        <v>0.20790273556231004</v>
      </c>
      <c r="O331" s="13">
        <f t="shared" si="27"/>
        <v>0</v>
      </c>
      <c r="P331" s="14">
        <f t="shared" si="28"/>
        <v>0</v>
      </c>
    </row>
    <row r="332" spans="8:16" x14ac:dyDescent="0.25">
      <c r="H332" s="6" t="s">
        <v>27</v>
      </c>
      <c r="I332" s="13">
        <f t="shared" si="25"/>
        <v>0</v>
      </c>
      <c r="J332" s="14">
        <f t="shared" si="26"/>
        <v>0</v>
      </c>
      <c r="K332" s="15" cm="1">
        <f t="array" ref="K332">AVERAGE(ABS($I$3:I332))</f>
        <v>6.4030303030303033</v>
      </c>
      <c r="L332" s="15" cm="1">
        <f t="array" ref="L332">AVERAGE(ABS($J$3:J332))</f>
        <v>0.2072727272727273</v>
      </c>
      <c r="O332" s="13">
        <f t="shared" si="27"/>
        <v>0</v>
      </c>
      <c r="P332" s="14">
        <f t="shared" si="28"/>
        <v>0</v>
      </c>
    </row>
    <row r="333" spans="8:16" x14ac:dyDescent="0.25">
      <c r="H333" s="6" t="s">
        <v>27</v>
      </c>
      <c r="I333" s="13">
        <f t="shared" si="25"/>
        <v>0</v>
      </c>
      <c r="J333" s="14">
        <f t="shared" si="26"/>
        <v>0</v>
      </c>
      <c r="K333" s="15" cm="1">
        <f t="array" ref="K333">AVERAGE(ABS($I$3:I333))</f>
        <v>6.3836858006042299</v>
      </c>
      <c r="L333" s="15" cm="1">
        <f t="array" ref="L333">AVERAGE(ABS($J$3:J333))</f>
        <v>0.20664652567975833</v>
      </c>
      <c r="O333" s="13">
        <f t="shared" si="27"/>
        <v>0</v>
      </c>
      <c r="P333" s="14">
        <f t="shared" si="28"/>
        <v>0</v>
      </c>
    </row>
    <row r="334" spans="8:16" x14ac:dyDescent="0.25">
      <c r="H334" s="6" t="s">
        <v>27</v>
      </c>
      <c r="I334" s="13">
        <f t="shared" si="25"/>
        <v>0</v>
      </c>
      <c r="J334" s="14">
        <f t="shared" si="26"/>
        <v>0</v>
      </c>
      <c r="K334" s="15" cm="1">
        <f t="array" ref="K334">AVERAGE(ABS($I$3:I334))</f>
        <v>6.3644578313253009</v>
      </c>
      <c r="L334" s="15" cm="1">
        <f t="array" ref="L334">AVERAGE(ABS($J$3:J334))</f>
        <v>0.2060240963855422</v>
      </c>
      <c r="O334" s="13">
        <f t="shared" si="27"/>
        <v>0</v>
      </c>
      <c r="P334" s="14">
        <f t="shared" si="28"/>
        <v>0</v>
      </c>
    </row>
    <row r="335" spans="8:16" x14ac:dyDescent="0.25">
      <c r="H335" s="6" t="s">
        <v>27</v>
      </c>
      <c r="I335" s="13">
        <f t="shared" si="25"/>
        <v>0</v>
      </c>
      <c r="J335" s="14">
        <f t="shared" si="26"/>
        <v>0</v>
      </c>
      <c r="K335" s="15" cm="1">
        <f t="array" ref="K335">AVERAGE(ABS($I$3:I335))</f>
        <v>6.3453453453453452</v>
      </c>
      <c r="L335" s="15" cm="1">
        <f t="array" ref="L335">AVERAGE(ABS($J$3:J335))</f>
        <v>0.20540540540540542</v>
      </c>
      <c r="O335" s="13">
        <f t="shared" si="27"/>
        <v>0</v>
      </c>
      <c r="P335" s="14">
        <f t="shared" si="28"/>
        <v>0</v>
      </c>
    </row>
    <row r="336" spans="8:16" x14ac:dyDescent="0.25">
      <c r="H336" s="6" t="s">
        <v>27</v>
      </c>
      <c r="I336" s="13">
        <f t="shared" si="25"/>
        <v>0</v>
      </c>
      <c r="J336" s="14">
        <f t="shared" si="26"/>
        <v>0</v>
      </c>
      <c r="K336" s="15" cm="1">
        <f t="array" ref="K336">AVERAGE(ABS($I$3:I336))</f>
        <v>6.3263473053892216</v>
      </c>
      <c r="L336" s="15" cm="1">
        <f t="array" ref="L336">AVERAGE(ABS($J$3:J336))</f>
        <v>0.20479041916167667</v>
      </c>
      <c r="O336" s="13">
        <f t="shared" si="27"/>
        <v>0</v>
      </c>
      <c r="P336" s="14">
        <f t="shared" si="28"/>
        <v>0</v>
      </c>
    </row>
    <row r="337" spans="8:16" x14ac:dyDescent="0.25">
      <c r="H337" s="6" t="s">
        <v>27</v>
      </c>
      <c r="I337" s="13">
        <f t="shared" si="25"/>
        <v>0</v>
      </c>
      <c r="J337" s="14">
        <f t="shared" si="26"/>
        <v>0</v>
      </c>
      <c r="K337" s="15" cm="1">
        <f t="array" ref="K337">AVERAGE(ABS($I$3:I337))</f>
        <v>6.3074626865671641</v>
      </c>
      <c r="L337" s="15" cm="1">
        <f t="array" ref="L337">AVERAGE(ABS($J$3:J337))</f>
        <v>0.20417910447761195</v>
      </c>
      <c r="O337" s="13">
        <f t="shared" si="27"/>
        <v>0</v>
      </c>
      <c r="P337" s="14">
        <f t="shared" si="28"/>
        <v>0</v>
      </c>
    </row>
    <row r="338" spans="8:16" x14ac:dyDescent="0.25">
      <c r="H338" s="6" t="s">
        <v>27</v>
      </c>
      <c r="I338" s="13">
        <f t="shared" si="25"/>
        <v>0</v>
      </c>
      <c r="J338" s="14">
        <f t="shared" si="26"/>
        <v>0</v>
      </c>
      <c r="K338" s="15" cm="1">
        <f t="array" ref="K338">AVERAGE(ABS($I$3:I338))</f>
        <v>6.2886904761904763</v>
      </c>
      <c r="L338" s="15" cm="1">
        <f t="array" ref="L338">AVERAGE(ABS($J$3:J338))</f>
        <v>0.2035714285714286</v>
      </c>
      <c r="O338" s="13">
        <f t="shared" si="27"/>
        <v>0</v>
      </c>
      <c r="P338" s="14">
        <f t="shared" si="28"/>
        <v>0</v>
      </c>
    </row>
    <row r="339" spans="8:16" x14ac:dyDescent="0.25">
      <c r="H339" s="6" t="s">
        <v>27</v>
      </c>
      <c r="I339" s="13">
        <f t="shared" si="25"/>
        <v>0</v>
      </c>
      <c r="J339" s="14">
        <f t="shared" si="26"/>
        <v>0</v>
      </c>
      <c r="K339" s="15" cm="1">
        <f t="array" ref="K339">AVERAGE(ABS($I$3:I339))</f>
        <v>6.2700296735905043</v>
      </c>
      <c r="L339" s="15" cm="1">
        <f t="array" ref="L339">AVERAGE(ABS($J$3:J339))</f>
        <v>0.20296735905044513</v>
      </c>
      <c r="O339" s="13">
        <f t="shared" si="27"/>
        <v>0</v>
      </c>
      <c r="P339" s="14">
        <f t="shared" si="28"/>
        <v>0</v>
      </c>
    </row>
    <row r="340" spans="8:16" x14ac:dyDescent="0.25">
      <c r="H340" s="6" t="s">
        <v>27</v>
      </c>
      <c r="I340" s="13">
        <f t="shared" si="25"/>
        <v>0</v>
      </c>
      <c r="J340" s="14">
        <f t="shared" si="26"/>
        <v>0</v>
      </c>
      <c r="K340" s="15" cm="1">
        <f t="array" ref="K340">AVERAGE(ABS($I$3:I340))</f>
        <v>6.2514792899408285</v>
      </c>
      <c r="L340" s="15" cm="1">
        <f t="array" ref="L340">AVERAGE(ABS($J$3:J340))</f>
        <v>0.20236686390532546</v>
      </c>
      <c r="O340" s="13">
        <f t="shared" si="27"/>
        <v>0</v>
      </c>
      <c r="P340" s="14">
        <f t="shared" si="28"/>
        <v>0</v>
      </c>
    </row>
    <row r="341" spans="8:16" x14ac:dyDescent="0.25">
      <c r="H341" s="6" t="s">
        <v>27</v>
      </c>
      <c r="I341" s="13">
        <f t="shared" si="25"/>
        <v>0</v>
      </c>
      <c r="J341" s="14">
        <f t="shared" si="26"/>
        <v>0</v>
      </c>
      <c r="K341" s="15" cm="1">
        <f t="array" ref="K341">AVERAGE(ABS($I$3:I341))</f>
        <v>6.2330383480825962</v>
      </c>
      <c r="L341" s="15" cm="1">
        <f t="array" ref="L341">AVERAGE(ABS($J$3:J341))</f>
        <v>0.2017699115044248</v>
      </c>
      <c r="O341" s="13">
        <f t="shared" si="27"/>
        <v>0</v>
      </c>
      <c r="P341" s="14">
        <f t="shared" si="28"/>
        <v>0</v>
      </c>
    </row>
    <row r="342" spans="8:16" x14ac:dyDescent="0.25">
      <c r="H342" s="6" t="s">
        <v>27</v>
      </c>
      <c r="I342" s="13">
        <f t="shared" si="25"/>
        <v>0</v>
      </c>
      <c r="J342" s="14">
        <f t="shared" si="26"/>
        <v>0</v>
      </c>
      <c r="K342" s="15" cm="1">
        <f t="array" ref="K342">AVERAGE(ABS($I$3:I342))</f>
        <v>6.2147058823529413</v>
      </c>
      <c r="L342" s="15" cm="1">
        <f t="array" ref="L342">AVERAGE(ABS($J$3:J342))</f>
        <v>0.20117647058823532</v>
      </c>
      <c r="O342" s="13">
        <f t="shared" si="27"/>
        <v>0</v>
      </c>
      <c r="P342" s="14">
        <f t="shared" si="28"/>
        <v>0</v>
      </c>
    </row>
    <row r="343" spans="8:16" x14ac:dyDescent="0.25">
      <c r="H343" s="6" t="s">
        <v>27</v>
      </c>
      <c r="I343" s="13">
        <f t="shared" si="25"/>
        <v>0</v>
      </c>
      <c r="J343" s="14">
        <f t="shared" si="26"/>
        <v>0</v>
      </c>
      <c r="K343" s="15" cm="1">
        <f t="array" ref="K343">AVERAGE(ABS($I$3:I343))</f>
        <v>6.1964809384164221</v>
      </c>
      <c r="L343" s="15" cm="1">
        <f t="array" ref="L343">AVERAGE(ABS($J$3:J343))</f>
        <v>0.20058651026392962</v>
      </c>
      <c r="O343" s="13">
        <f t="shared" si="27"/>
        <v>0</v>
      </c>
      <c r="P343" s="14">
        <f t="shared" si="28"/>
        <v>0</v>
      </c>
    </row>
    <row r="344" spans="8:16" x14ac:dyDescent="0.25">
      <c r="H344" s="6" t="s">
        <v>27</v>
      </c>
      <c r="I344" s="13">
        <f t="shared" si="25"/>
        <v>0</v>
      </c>
      <c r="J344" s="14">
        <f t="shared" si="26"/>
        <v>0</v>
      </c>
      <c r="K344" s="15" cm="1">
        <f t="array" ref="K344">AVERAGE(ABS($I$3:I344))</f>
        <v>6.1783625730994149</v>
      </c>
      <c r="L344" s="15" cm="1">
        <f t="array" ref="L344">AVERAGE(ABS($J$3:J344))</f>
        <v>0.2</v>
      </c>
      <c r="O344" s="13">
        <f t="shared" si="27"/>
        <v>0</v>
      </c>
      <c r="P344" s="14">
        <f t="shared" si="28"/>
        <v>0</v>
      </c>
    </row>
    <row r="345" spans="8:16" x14ac:dyDescent="0.25">
      <c r="H345" s="6" t="s">
        <v>27</v>
      </c>
      <c r="I345" s="13">
        <f t="shared" si="25"/>
        <v>0</v>
      </c>
      <c r="J345" s="14">
        <f t="shared" si="26"/>
        <v>0</v>
      </c>
      <c r="K345" s="15" cm="1">
        <f t="array" ref="K345">AVERAGE(ABS($I$3:I345))</f>
        <v>6.1603498542274053</v>
      </c>
      <c r="L345" s="15" cm="1">
        <f t="array" ref="L345">AVERAGE(ABS($J$3:J345))</f>
        <v>0.19941690962099126</v>
      </c>
      <c r="O345" s="13">
        <f t="shared" si="27"/>
        <v>0</v>
      </c>
      <c r="P345" s="14">
        <f t="shared" si="28"/>
        <v>0</v>
      </c>
    </row>
    <row r="346" spans="8:16" x14ac:dyDescent="0.25">
      <c r="H346" s="6" t="s">
        <v>27</v>
      </c>
      <c r="I346" s="13">
        <f t="shared" si="25"/>
        <v>0</v>
      </c>
      <c r="J346" s="14">
        <f t="shared" si="26"/>
        <v>0</v>
      </c>
      <c r="K346" s="15" cm="1">
        <f t="array" ref="K346">AVERAGE(ABS($I$3:I346))</f>
        <v>6.1424418604651159</v>
      </c>
      <c r="L346" s="15" cm="1">
        <f t="array" ref="L346">AVERAGE(ABS($J$3:J346))</f>
        <v>0.1988372093023256</v>
      </c>
      <c r="O346" s="13">
        <f t="shared" si="27"/>
        <v>0</v>
      </c>
      <c r="P346" s="14">
        <f t="shared" si="28"/>
        <v>0</v>
      </c>
    </row>
    <row r="347" spans="8:16" x14ac:dyDescent="0.25">
      <c r="H347" s="6" t="s">
        <v>27</v>
      </c>
      <c r="I347" s="13">
        <f t="shared" si="25"/>
        <v>0</v>
      </c>
      <c r="J347" s="14">
        <f t="shared" si="26"/>
        <v>0</v>
      </c>
      <c r="K347" s="15" cm="1">
        <f t="array" ref="K347">AVERAGE(ABS($I$3:I347))</f>
        <v>6.1246376811594203</v>
      </c>
      <c r="L347" s="15" cm="1">
        <f t="array" ref="L347">AVERAGE(ABS($J$3:J347))</f>
        <v>0.19826086956521741</v>
      </c>
      <c r="O347" s="13">
        <f t="shared" si="27"/>
        <v>0</v>
      </c>
      <c r="P347" s="14">
        <f t="shared" si="28"/>
        <v>0</v>
      </c>
    </row>
    <row r="348" spans="8:16" x14ac:dyDescent="0.25">
      <c r="H348" s="6" t="s">
        <v>27</v>
      </c>
      <c r="I348" s="13">
        <f t="shared" si="25"/>
        <v>0</v>
      </c>
      <c r="J348" s="14">
        <f t="shared" si="26"/>
        <v>0</v>
      </c>
      <c r="K348" s="15" cm="1">
        <f t="array" ref="K348">AVERAGE(ABS($I$3:I348))</f>
        <v>6.1069364161849711</v>
      </c>
      <c r="L348" s="15" cm="1">
        <f t="array" ref="L348">AVERAGE(ABS($J$3:J348))</f>
        <v>0.19768786127167631</v>
      </c>
      <c r="O348" s="13">
        <f t="shared" si="27"/>
        <v>0</v>
      </c>
      <c r="P348" s="14">
        <f t="shared" si="28"/>
        <v>0</v>
      </c>
    </row>
    <row r="349" spans="8:16" x14ac:dyDescent="0.25">
      <c r="H349" s="6" t="s">
        <v>27</v>
      </c>
      <c r="I349" s="13">
        <f t="shared" si="25"/>
        <v>0</v>
      </c>
      <c r="J349" s="14">
        <f t="shared" si="26"/>
        <v>0</v>
      </c>
      <c r="K349" s="15" cm="1">
        <f t="array" ref="K349">AVERAGE(ABS($I$3:I349))</f>
        <v>6.0893371757925072</v>
      </c>
      <c r="L349" s="15" cm="1">
        <f t="array" ref="L349">AVERAGE(ABS($J$3:J349))</f>
        <v>0.19711815561959656</v>
      </c>
      <c r="O349" s="13">
        <f t="shared" si="27"/>
        <v>0</v>
      </c>
      <c r="P349" s="14">
        <f t="shared" si="28"/>
        <v>0</v>
      </c>
    </row>
    <row r="350" spans="8:16" x14ac:dyDescent="0.25">
      <c r="H350" s="6" t="s">
        <v>27</v>
      </c>
      <c r="I350" s="13">
        <f t="shared" si="25"/>
        <v>0</v>
      </c>
      <c r="J350" s="14">
        <f t="shared" si="26"/>
        <v>0</v>
      </c>
      <c r="K350" s="15" cm="1">
        <f t="array" ref="K350">AVERAGE(ABS($I$3:I350))</f>
        <v>6.0718390804597702</v>
      </c>
      <c r="L350" s="15" cm="1">
        <f t="array" ref="L350">AVERAGE(ABS($J$3:J350))</f>
        <v>0.19655172413793104</v>
      </c>
      <c r="O350" s="13">
        <f t="shared" si="27"/>
        <v>0</v>
      </c>
      <c r="P350" s="14">
        <f t="shared" si="28"/>
        <v>0</v>
      </c>
    </row>
    <row r="351" spans="8:16" x14ac:dyDescent="0.25">
      <c r="H351" s="6" t="s">
        <v>27</v>
      </c>
      <c r="I351" s="13">
        <f t="shared" si="25"/>
        <v>0</v>
      </c>
      <c r="J351" s="14">
        <f t="shared" si="26"/>
        <v>0</v>
      </c>
      <c r="K351" s="15" cm="1">
        <f t="array" ref="K351">AVERAGE(ABS($I$3:I351))</f>
        <v>6.0544412607449853</v>
      </c>
      <c r="L351" s="15" cm="1">
        <f t="array" ref="L351">AVERAGE(ABS($J$3:J351))</f>
        <v>0.19598853868194843</v>
      </c>
      <c r="O351" s="13">
        <f t="shared" si="27"/>
        <v>0</v>
      </c>
      <c r="P351" s="14">
        <f t="shared" si="28"/>
        <v>0</v>
      </c>
    </row>
    <row r="352" spans="8:16" x14ac:dyDescent="0.25">
      <c r="H352" s="6" t="s">
        <v>27</v>
      </c>
      <c r="I352" s="13">
        <f t="shared" si="25"/>
        <v>0</v>
      </c>
      <c r="J352" s="14">
        <f t="shared" si="26"/>
        <v>0</v>
      </c>
      <c r="K352" s="15" cm="1">
        <f t="array" ref="K352">AVERAGE(ABS($I$3:I352))</f>
        <v>6.0371428571428574</v>
      </c>
      <c r="L352" s="15" cm="1">
        <f t="array" ref="L352">AVERAGE(ABS($J$3:J352))</f>
        <v>0.19542857142857145</v>
      </c>
      <c r="O352" s="13">
        <f t="shared" si="27"/>
        <v>0</v>
      </c>
      <c r="P352" s="14">
        <f t="shared" si="28"/>
        <v>0</v>
      </c>
    </row>
    <row r="353" spans="8:16" x14ac:dyDescent="0.25">
      <c r="H353" s="6" t="s">
        <v>27</v>
      </c>
      <c r="I353" s="13">
        <f t="shared" si="25"/>
        <v>0</v>
      </c>
      <c r="J353" s="14">
        <f t="shared" si="26"/>
        <v>0</v>
      </c>
      <c r="K353" s="15" cm="1">
        <f t="array" ref="K353">AVERAGE(ABS($I$3:I353))</f>
        <v>6.0199430199430202</v>
      </c>
      <c r="L353" s="15" cm="1">
        <f t="array" ref="L353">AVERAGE(ABS($J$3:J353))</f>
        <v>0.1948717948717949</v>
      </c>
      <c r="O353" s="13">
        <f t="shared" si="27"/>
        <v>0</v>
      </c>
      <c r="P353" s="14">
        <f t="shared" si="28"/>
        <v>0</v>
      </c>
    </row>
    <row r="354" spans="8:16" x14ac:dyDescent="0.25">
      <c r="H354" s="6" t="s">
        <v>27</v>
      </c>
      <c r="I354" s="13">
        <f t="shared" si="25"/>
        <v>0</v>
      </c>
      <c r="J354" s="14">
        <f t="shared" si="26"/>
        <v>0</v>
      </c>
      <c r="K354" s="15" cm="1">
        <f t="array" ref="K354">AVERAGE(ABS($I$3:I354))</f>
        <v>6.0028409090909092</v>
      </c>
      <c r="L354" s="15" cm="1">
        <f t="array" ref="L354">AVERAGE(ABS($J$3:J354))</f>
        <v>0.19431818181818183</v>
      </c>
      <c r="O354" s="13">
        <f t="shared" si="27"/>
        <v>0</v>
      </c>
      <c r="P354" s="14">
        <f t="shared" si="28"/>
        <v>0</v>
      </c>
    </row>
    <row r="355" spans="8:16" x14ac:dyDescent="0.25">
      <c r="H355" s="6" t="s">
        <v>27</v>
      </c>
      <c r="I355" s="13">
        <f t="shared" si="25"/>
        <v>0</v>
      </c>
      <c r="J355" s="14">
        <f t="shared" si="26"/>
        <v>0</v>
      </c>
      <c r="K355" s="15" cm="1">
        <f t="array" ref="K355">AVERAGE(ABS($I$3:I355))</f>
        <v>5.9858356940509916</v>
      </c>
      <c r="L355" s="15" cm="1">
        <f t="array" ref="L355">AVERAGE(ABS($J$3:J355))</f>
        <v>0.19376770538243629</v>
      </c>
      <c r="O355" s="13">
        <f t="shared" si="27"/>
        <v>0</v>
      </c>
      <c r="P355" s="14">
        <f t="shared" si="28"/>
        <v>0</v>
      </c>
    </row>
    <row r="356" spans="8:16" x14ac:dyDescent="0.25">
      <c r="H356" s="6" t="s">
        <v>27</v>
      </c>
      <c r="I356" s="13">
        <f t="shared" si="25"/>
        <v>0</v>
      </c>
      <c r="J356" s="14">
        <f t="shared" si="26"/>
        <v>0</v>
      </c>
      <c r="K356" s="15" cm="1">
        <f t="array" ref="K356">AVERAGE(ABS($I$3:I356))</f>
        <v>5.9689265536723166</v>
      </c>
      <c r="L356" s="15" cm="1">
        <f t="array" ref="L356">AVERAGE(ABS($J$3:J356))</f>
        <v>0.19322033898305085</v>
      </c>
      <c r="O356" s="13">
        <f t="shared" si="27"/>
        <v>0</v>
      </c>
      <c r="P356" s="14">
        <f t="shared" si="28"/>
        <v>0</v>
      </c>
    </row>
    <row r="357" spans="8:16" x14ac:dyDescent="0.25">
      <c r="H357" s="6" t="s">
        <v>27</v>
      </c>
      <c r="I357" s="13">
        <f t="shared" si="25"/>
        <v>0</v>
      </c>
      <c r="J357" s="14">
        <f t="shared" si="26"/>
        <v>0</v>
      </c>
      <c r="K357" s="15" cm="1">
        <f t="array" ref="K357">AVERAGE(ABS($I$3:I357))</f>
        <v>5.9521126760563376</v>
      </c>
      <c r="L357" s="15" cm="1">
        <f t="array" ref="L357">AVERAGE(ABS($J$3:J357))</f>
        <v>0.19267605633802817</v>
      </c>
      <c r="O357" s="13">
        <f t="shared" si="27"/>
        <v>0</v>
      </c>
      <c r="P357" s="14">
        <f t="shared" si="28"/>
        <v>0</v>
      </c>
    </row>
    <row r="358" spans="8:16" x14ac:dyDescent="0.25">
      <c r="H358" s="6" t="s">
        <v>27</v>
      </c>
      <c r="I358" s="13">
        <f t="shared" si="25"/>
        <v>0</v>
      </c>
      <c r="J358" s="14">
        <f t="shared" si="26"/>
        <v>0</v>
      </c>
      <c r="K358" s="15" cm="1">
        <f t="array" ref="K358">AVERAGE(ABS($I$3:I358))</f>
        <v>5.9353932584269664</v>
      </c>
      <c r="L358" s="15" cm="1">
        <f t="array" ref="L358">AVERAGE(ABS($J$3:J358))</f>
        <v>0.19213483146067417</v>
      </c>
      <c r="O358" s="13">
        <f t="shared" si="27"/>
        <v>0</v>
      </c>
      <c r="P358" s="14">
        <f t="shared" si="28"/>
        <v>0</v>
      </c>
    </row>
    <row r="359" spans="8:16" x14ac:dyDescent="0.25">
      <c r="H359" s="6" t="s">
        <v>27</v>
      </c>
      <c r="I359" s="13">
        <f t="shared" si="25"/>
        <v>0</v>
      </c>
      <c r="J359" s="14">
        <f t="shared" si="26"/>
        <v>0</v>
      </c>
      <c r="K359" s="15" cm="1">
        <f t="array" ref="K359">AVERAGE(ABS($I$3:I359))</f>
        <v>5.9187675070028014</v>
      </c>
      <c r="L359" s="15" cm="1">
        <f t="array" ref="L359">AVERAGE(ABS($J$3:J359))</f>
        <v>0.1915966386554622</v>
      </c>
      <c r="O359" s="13">
        <f t="shared" si="27"/>
        <v>0</v>
      </c>
      <c r="P359" s="14">
        <f t="shared" si="28"/>
        <v>0</v>
      </c>
    </row>
    <row r="360" spans="8:16" x14ac:dyDescent="0.25">
      <c r="H360" s="6" t="s">
        <v>27</v>
      </c>
      <c r="I360" s="13">
        <f t="shared" si="25"/>
        <v>0</v>
      </c>
      <c r="J360" s="14">
        <f t="shared" si="26"/>
        <v>0</v>
      </c>
      <c r="K360" s="15" cm="1">
        <f t="array" ref="K360">AVERAGE(ABS($I$3:I360))</f>
        <v>5.9022346368715084</v>
      </c>
      <c r="L360" s="15" cm="1">
        <f t="array" ref="L360">AVERAGE(ABS($J$3:J360))</f>
        <v>0.1910614525139665</v>
      </c>
      <c r="O360" s="13">
        <f t="shared" si="27"/>
        <v>0</v>
      </c>
      <c r="P360" s="14">
        <f t="shared" si="28"/>
        <v>0</v>
      </c>
    </row>
    <row r="361" spans="8:16" x14ac:dyDescent="0.25">
      <c r="H361" s="6" t="s">
        <v>27</v>
      </c>
      <c r="I361" s="13">
        <f t="shared" si="25"/>
        <v>0</v>
      </c>
      <c r="J361" s="14">
        <f t="shared" si="26"/>
        <v>0</v>
      </c>
      <c r="K361" s="15" cm="1">
        <f t="array" ref="K361">AVERAGE(ABS($I$3:I361))</f>
        <v>5.8857938718662952</v>
      </c>
      <c r="L361" s="15" cm="1">
        <f t="array" ref="L361">AVERAGE(ABS($J$3:J361))</f>
        <v>0.19052924791086354</v>
      </c>
      <c r="O361" s="13">
        <f t="shared" si="27"/>
        <v>0</v>
      </c>
      <c r="P361" s="14">
        <f t="shared" si="28"/>
        <v>0</v>
      </c>
    </row>
    <row r="362" spans="8:16" x14ac:dyDescent="0.25">
      <c r="H362" s="6" t="s">
        <v>27</v>
      </c>
      <c r="I362" s="13">
        <f t="shared" si="25"/>
        <v>0</v>
      </c>
      <c r="J362" s="14">
        <f t="shared" si="26"/>
        <v>0</v>
      </c>
      <c r="K362" s="15" cm="1">
        <f t="array" ref="K362">AVERAGE(ABS($I$3:I362))</f>
        <v>5.8694444444444445</v>
      </c>
      <c r="L362" s="15" cm="1">
        <f t="array" ref="L362">AVERAGE(ABS($J$3:J362))</f>
        <v>0.19</v>
      </c>
      <c r="O362" s="13">
        <f t="shared" si="27"/>
        <v>0</v>
      </c>
      <c r="P362" s="14">
        <f t="shared" si="28"/>
        <v>0</v>
      </c>
    </row>
    <row r="363" spans="8:16" x14ac:dyDescent="0.25">
      <c r="H363" s="6" t="s">
        <v>27</v>
      </c>
      <c r="I363" s="13">
        <f t="shared" si="25"/>
        <v>0</v>
      </c>
      <c r="J363" s="14">
        <f t="shared" si="26"/>
        <v>0</v>
      </c>
      <c r="K363" s="15" cm="1">
        <f t="array" ref="K363">AVERAGE(ABS($I$3:I363))</f>
        <v>5.8531855955678669</v>
      </c>
      <c r="L363" s="15" cm="1">
        <f t="array" ref="L363">AVERAGE(ABS($J$3:J363))</f>
        <v>0.18947368421052632</v>
      </c>
      <c r="O363" s="13">
        <f t="shared" si="27"/>
        <v>0</v>
      </c>
      <c r="P363" s="14">
        <f t="shared" si="28"/>
        <v>0</v>
      </c>
    </row>
    <row r="364" spans="8:16" x14ac:dyDescent="0.25">
      <c r="H364" s="6" t="s">
        <v>27</v>
      </c>
      <c r="I364" s="13">
        <f t="shared" si="25"/>
        <v>0</v>
      </c>
      <c r="J364" s="14">
        <f t="shared" si="26"/>
        <v>0</v>
      </c>
      <c r="K364" s="15" cm="1">
        <f t="array" ref="K364">AVERAGE(ABS($I$3:I364))</f>
        <v>5.8370165745856353</v>
      </c>
      <c r="L364" s="15" cm="1">
        <f t="array" ref="L364">AVERAGE(ABS($J$3:J364))</f>
        <v>0.18895027624309393</v>
      </c>
      <c r="O364" s="13">
        <f t="shared" si="27"/>
        <v>0</v>
      </c>
      <c r="P364" s="14">
        <f t="shared" si="28"/>
        <v>0</v>
      </c>
    </row>
    <row r="365" spans="8:16" x14ac:dyDescent="0.25">
      <c r="H365" s="6" t="s">
        <v>27</v>
      </c>
      <c r="I365" s="13">
        <f t="shared" si="25"/>
        <v>0</v>
      </c>
      <c r="J365" s="14">
        <f t="shared" si="26"/>
        <v>0</v>
      </c>
      <c r="K365" s="15" cm="1">
        <f t="array" ref="K365">AVERAGE(ABS($I$3:I365))</f>
        <v>5.8209366391184574</v>
      </c>
      <c r="L365" s="15" cm="1">
        <f t="array" ref="L365">AVERAGE(ABS($J$3:J365))</f>
        <v>0.18842975206611573</v>
      </c>
      <c r="O365" s="13">
        <f t="shared" si="27"/>
        <v>0</v>
      </c>
      <c r="P365" s="14">
        <f t="shared" si="28"/>
        <v>0</v>
      </c>
    </row>
    <row r="366" spans="8:16" x14ac:dyDescent="0.25">
      <c r="H366" s="6" t="s">
        <v>27</v>
      </c>
      <c r="I366" s="13">
        <f t="shared" si="25"/>
        <v>0</v>
      </c>
      <c r="J366" s="14">
        <f t="shared" si="26"/>
        <v>0</v>
      </c>
      <c r="K366" s="15" cm="1">
        <f t="array" ref="K366">AVERAGE(ABS($I$3:I366))</f>
        <v>5.8049450549450547</v>
      </c>
      <c r="L366" s="15" cm="1">
        <f t="array" ref="L366">AVERAGE(ABS($J$3:J366))</f>
        <v>0.18791208791208794</v>
      </c>
      <c r="O366" s="13">
        <f t="shared" si="27"/>
        <v>0</v>
      </c>
      <c r="P366" s="14">
        <f t="shared" si="28"/>
        <v>0</v>
      </c>
    </row>
    <row r="367" spans="8:16" x14ac:dyDescent="0.25">
      <c r="H367" s="6" t="s">
        <v>27</v>
      </c>
      <c r="I367" s="13">
        <f t="shared" si="25"/>
        <v>0</v>
      </c>
      <c r="J367" s="14">
        <f t="shared" si="26"/>
        <v>0</v>
      </c>
      <c r="K367" s="15" cm="1">
        <f t="array" ref="K367">AVERAGE(ABS($I$3:I367))</f>
        <v>5.7890410958904113</v>
      </c>
      <c r="L367" s="15" cm="1">
        <f t="array" ref="L367">AVERAGE(ABS($J$3:J367))</f>
        <v>0.1873972602739726</v>
      </c>
      <c r="O367" s="13">
        <f t="shared" si="27"/>
        <v>0</v>
      </c>
      <c r="P367" s="14">
        <f t="shared" si="28"/>
        <v>0</v>
      </c>
    </row>
    <row r="368" spans="8:16" x14ac:dyDescent="0.25">
      <c r="H368" s="6" t="s">
        <v>27</v>
      </c>
      <c r="I368" s="13">
        <f t="shared" si="25"/>
        <v>0</v>
      </c>
      <c r="J368" s="14">
        <f t="shared" si="26"/>
        <v>0</v>
      </c>
      <c r="K368" s="15" cm="1">
        <f t="array" ref="K368">AVERAGE(ABS($I$3:I368))</f>
        <v>5.7732240437158469</v>
      </c>
      <c r="L368" s="15" cm="1">
        <f t="array" ref="L368">AVERAGE(ABS($J$3:J368))</f>
        <v>0.18688524590163935</v>
      </c>
      <c r="O368" s="13">
        <f t="shared" si="27"/>
        <v>0</v>
      </c>
      <c r="P368" s="14">
        <f t="shared" si="28"/>
        <v>0</v>
      </c>
    </row>
    <row r="369" spans="8:16" x14ac:dyDescent="0.25">
      <c r="H369" s="6" t="s">
        <v>27</v>
      </c>
      <c r="I369" s="13">
        <f t="shared" si="25"/>
        <v>0</v>
      </c>
      <c r="J369" s="14">
        <f t="shared" si="26"/>
        <v>0</v>
      </c>
      <c r="K369" s="15" cm="1">
        <f t="array" ref="K369">AVERAGE(ABS($I$3:I369))</f>
        <v>5.7574931880108995</v>
      </c>
      <c r="L369" s="15" cm="1">
        <f t="array" ref="L369">AVERAGE(ABS($J$3:J369))</f>
        <v>0.18637602179836513</v>
      </c>
      <c r="O369" s="13">
        <f t="shared" si="27"/>
        <v>0</v>
      </c>
      <c r="P369" s="14">
        <f t="shared" si="28"/>
        <v>0</v>
      </c>
    </row>
    <row r="370" spans="8:16" x14ac:dyDescent="0.25">
      <c r="H370" s="6" t="s">
        <v>27</v>
      </c>
      <c r="I370" s="13">
        <f t="shared" si="25"/>
        <v>0</v>
      </c>
      <c r="J370" s="14">
        <f t="shared" si="26"/>
        <v>0</v>
      </c>
      <c r="K370" s="15" cm="1">
        <f t="array" ref="K370">AVERAGE(ABS($I$3:I370))</f>
        <v>5.7418478260869561</v>
      </c>
      <c r="L370" s="15" cm="1">
        <f t="array" ref="L370">AVERAGE(ABS($J$3:J370))</f>
        <v>0.18586956521739131</v>
      </c>
      <c r="O370" s="13">
        <f t="shared" si="27"/>
        <v>0</v>
      </c>
      <c r="P370" s="14">
        <f t="shared" si="28"/>
        <v>0</v>
      </c>
    </row>
    <row r="371" spans="8:16" x14ac:dyDescent="0.25">
      <c r="H371" s="6" t="s">
        <v>27</v>
      </c>
      <c r="I371" s="13">
        <f t="shared" si="25"/>
        <v>0</v>
      </c>
      <c r="J371" s="14">
        <f t="shared" si="26"/>
        <v>0</v>
      </c>
      <c r="K371" s="15" cm="1">
        <f t="array" ref="K371">AVERAGE(ABS($I$3:I371))</f>
        <v>5.7262872628726287</v>
      </c>
      <c r="L371" s="15" cm="1">
        <f t="array" ref="L371">AVERAGE(ABS($J$3:J371))</f>
        <v>0.18536585365853661</v>
      </c>
      <c r="O371" s="13">
        <f t="shared" si="27"/>
        <v>0</v>
      </c>
      <c r="P371" s="14">
        <f t="shared" si="28"/>
        <v>0</v>
      </c>
    </row>
    <row r="372" spans="8:16" x14ac:dyDescent="0.25">
      <c r="H372" s="6" t="s">
        <v>27</v>
      </c>
      <c r="I372" s="13">
        <f t="shared" si="25"/>
        <v>0</v>
      </c>
      <c r="J372" s="14">
        <f t="shared" si="26"/>
        <v>0</v>
      </c>
      <c r="K372" s="15" cm="1">
        <f t="array" ref="K372">AVERAGE(ABS($I$3:I372))</f>
        <v>5.7108108108108109</v>
      </c>
      <c r="L372" s="15" cm="1">
        <f t="array" ref="L372">AVERAGE(ABS($J$3:J372))</f>
        <v>0.18486486486486489</v>
      </c>
      <c r="O372" s="13">
        <f t="shared" si="27"/>
        <v>0</v>
      </c>
      <c r="P372" s="14">
        <f t="shared" si="28"/>
        <v>0</v>
      </c>
    </row>
    <row r="373" spans="8:16" x14ac:dyDescent="0.25">
      <c r="H373" s="6" t="s">
        <v>27</v>
      </c>
      <c r="I373" s="13">
        <f t="shared" si="25"/>
        <v>0</v>
      </c>
      <c r="J373" s="14">
        <f t="shared" si="26"/>
        <v>0</v>
      </c>
      <c r="K373" s="15" cm="1">
        <f t="array" ref="K373">AVERAGE(ABS($I$3:I373))</f>
        <v>5.6954177897574123</v>
      </c>
      <c r="L373" s="15" cm="1">
        <f t="array" ref="L373">AVERAGE(ABS($J$3:J373))</f>
        <v>0.18436657681940702</v>
      </c>
      <c r="O373" s="13">
        <f t="shared" si="27"/>
        <v>0</v>
      </c>
      <c r="P373" s="14">
        <f t="shared" si="28"/>
        <v>0</v>
      </c>
    </row>
    <row r="374" spans="8:16" x14ac:dyDescent="0.25">
      <c r="H374" s="6" t="s">
        <v>27</v>
      </c>
      <c r="I374" s="13">
        <f t="shared" si="25"/>
        <v>0</v>
      </c>
      <c r="J374" s="14">
        <f t="shared" si="26"/>
        <v>0</v>
      </c>
      <c r="K374" s="15" cm="1">
        <f t="array" ref="K374">AVERAGE(ABS($I$3:I374))</f>
        <v>5.68010752688172</v>
      </c>
      <c r="L374" s="15" cm="1">
        <f t="array" ref="L374">AVERAGE(ABS($J$3:J374))</f>
        <v>0.18387096774193551</v>
      </c>
      <c r="O374" s="13">
        <f t="shared" si="27"/>
        <v>0</v>
      </c>
      <c r="P374" s="14">
        <f t="shared" si="28"/>
        <v>0</v>
      </c>
    </row>
    <row r="375" spans="8:16" x14ac:dyDescent="0.25">
      <c r="H375" s="6" t="s">
        <v>27</v>
      </c>
      <c r="I375" s="13">
        <f t="shared" si="25"/>
        <v>0</v>
      </c>
      <c r="J375" s="14">
        <f t="shared" si="26"/>
        <v>0</v>
      </c>
      <c r="K375" s="15" cm="1">
        <f t="array" ref="K375">AVERAGE(ABS($I$3:I375))</f>
        <v>5.6648793565683651</v>
      </c>
      <c r="L375" s="15" cm="1">
        <f t="array" ref="L375">AVERAGE(ABS($J$3:J375))</f>
        <v>0.18337801608579091</v>
      </c>
      <c r="O375" s="13">
        <f t="shared" si="27"/>
        <v>0</v>
      </c>
      <c r="P375" s="14">
        <f t="shared" si="28"/>
        <v>0</v>
      </c>
    </row>
    <row r="376" spans="8:16" x14ac:dyDescent="0.25">
      <c r="H376" s="6" t="s">
        <v>27</v>
      </c>
      <c r="I376" s="13">
        <f t="shared" si="25"/>
        <v>0</v>
      </c>
      <c r="J376" s="14">
        <f t="shared" si="26"/>
        <v>0</v>
      </c>
      <c r="K376" s="15" cm="1">
        <f t="array" ref="K376">AVERAGE(ABS($I$3:I376))</f>
        <v>5.6497326203208553</v>
      </c>
      <c r="L376" s="15" cm="1">
        <f t="array" ref="L376">AVERAGE(ABS($J$3:J376))</f>
        <v>0.18288770053475936</v>
      </c>
      <c r="O376" s="13">
        <f t="shared" si="27"/>
        <v>0</v>
      </c>
      <c r="P376" s="14">
        <f t="shared" si="28"/>
        <v>0</v>
      </c>
    </row>
    <row r="377" spans="8:16" x14ac:dyDescent="0.25">
      <c r="H377" s="6" t="s">
        <v>27</v>
      </c>
      <c r="I377" s="13">
        <f t="shared" si="25"/>
        <v>0</v>
      </c>
      <c r="J377" s="14">
        <f t="shared" si="26"/>
        <v>0</v>
      </c>
      <c r="K377" s="15" cm="1">
        <f t="array" ref="K377">AVERAGE(ABS($I$3:I377))</f>
        <v>5.6346666666666669</v>
      </c>
      <c r="L377" s="15" cm="1">
        <f t="array" ref="L377">AVERAGE(ABS($J$3:J377))</f>
        <v>0.18240000000000001</v>
      </c>
      <c r="O377" s="13">
        <f t="shared" si="27"/>
        <v>0</v>
      </c>
      <c r="P377" s="14">
        <f t="shared" si="28"/>
        <v>0</v>
      </c>
    </row>
    <row r="378" spans="8:16" x14ac:dyDescent="0.25">
      <c r="H378" s="6" t="s">
        <v>27</v>
      </c>
      <c r="I378" s="13">
        <f t="shared" si="25"/>
        <v>0</v>
      </c>
      <c r="J378" s="14">
        <f t="shared" si="26"/>
        <v>0</v>
      </c>
      <c r="K378" s="15" cm="1">
        <f t="array" ref="K378">AVERAGE(ABS($I$3:I378))</f>
        <v>5.6196808510638299</v>
      </c>
      <c r="L378" s="15" cm="1">
        <f t="array" ref="L378">AVERAGE(ABS($J$3:J378))</f>
        <v>0.18191489361702129</v>
      </c>
      <c r="O378" s="13">
        <f t="shared" si="27"/>
        <v>0</v>
      </c>
      <c r="P378" s="14">
        <f t="shared" si="28"/>
        <v>0</v>
      </c>
    </row>
    <row r="379" spans="8:16" x14ac:dyDescent="0.25">
      <c r="H379" s="6" t="s">
        <v>27</v>
      </c>
      <c r="I379" s="13">
        <f t="shared" si="25"/>
        <v>0</v>
      </c>
      <c r="J379" s="14">
        <f t="shared" si="26"/>
        <v>0</v>
      </c>
      <c r="K379" s="15" cm="1">
        <f t="array" ref="K379">AVERAGE(ABS($I$3:I379))</f>
        <v>5.6047745358090184</v>
      </c>
      <c r="L379" s="15" cm="1">
        <f t="array" ref="L379">AVERAGE(ABS($J$3:J379))</f>
        <v>0.18143236074270558</v>
      </c>
      <c r="O379" s="13">
        <f t="shared" si="27"/>
        <v>0</v>
      </c>
      <c r="P379" s="14">
        <f t="shared" si="28"/>
        <v>0</v>
      </c>
    </row>
    <row r="380" spans="8:16" x14ac:dyDescent="0.25">
      <c r="H380" s="6" t="s">
        <v>27</v>
      </c>
      <c r="I380" s="13">
        <f t="shared" si="25"/>
        <v>0</v>
      </c>
      <c r="J380" s="14">
        <f t="shared" si="26"/>
        <v>0</v>
      </c>
      <c r="K380" s="15" cm="1">
        <f t="array" ref="K380">AVERAGE(ABS($I$3:I380))</f>
        <v>5.5899470899470902</v>
      </c>
      <c r="L380" s="15" cm="1">
        <f t="array" ref="L380">AVERAGE(ABS($J$3:J380))</f>
        <v>0.18095238095238098</v>
      </c>
      <c r="O380" s="13">
        <f t="shared" si="27"/>
        <v>0</v>
      </c>
      <c r="P380" s="14">
        <f t="shared" si="28"/>
        <v>0</v>
      </c>
    </row>
    <row r="381" spans="8:16" x14ac:dyDescent="0.25">
      <c r="H381" s="6" t="s">
        <v>27</v>
      </c>
      <c r="I381" s="13">
        <f t="shared" si="25"/>
        <v>0</v>
      </c>
      <c r="J381" s="14">
        <f t="shared" si="26"/>
        <v>0</v>
      </c>
      <c r="K381" s="15" cm="1">
        <f t="array" ref="K381">AVERAGE(ABS($I$3:I381))</f>
        <v>5.5751978891820579</v>
      </c>
      <c r="L381" s="15" cm="1">
        <f t="array" ref="L381">AVERAGE(ABS($J$3:J381))</f>
        <v>0.18047493403693932</v>
      </c>
      <c r="O381" s="13">
        <f t="shared" si="27"/>
        <v>0</v>
      </c>
      <c r="P381" s="14">
        <f t="shared" si="28"/>
        <v>0</v>
      </c>
    </row>
    <row r="382" spans="8:16" x14ac:dyDescent="0.25">
      <c r="H382" s="6" t="s">
        <v>27</v>
      </c>
      <c r="I382" s="13">
        <f t="shared" si="25"/>
        <v>0</v>
      </c>
      <c r="J382" s="14">
        <f t="shared" si="26"/>
        <v>0</v>
      </c>
      <c r="K382" s="15" cm="1">
        <f t="array" ref="K382">AVERAGE(ABS($I$3:I382))</f>
        <v>5.560526315789474</v>
      </c>
      <c r="L382" s="15" cm="1">
        <f t="array" ref="L382">AVERAGE(ABS($J$3:J382))</f>
        <v>0.18000000000000002</v>
      </c>
      <c r="O382" s="13">
        <f t="shared" si="27"/>
        <v>0</v>
      </c>
      <c r="P382" s="14">
        <f t="shared" si="28"/>
        <v>0</v>
      </c>
    </row>
    <row r="383" spans="8:16" x14ac:dyDescent="0.25">
      <c r="H383" s="6" t="s">
        <v>27</v>
      </c>
      <c r="I383" s="13">
        <f t="shared" si="25"/>
        <v>0</v>
      </c>
      <c r="J383" s="14">
        <f t="shared" si="26"/>
        <v>0</v>
      </c>
      <c r="K383" s="15" cm="1">
        <f t="array" ref="K383">AVERAGE(ABS($I$3:I383))</f>
        <v>5.5459317585301839</v>
      </c>
      <c r="L383" s="15" cm="1">
        <f t="array" ref="L383">AVERAGE(ABS($J$3:J383))</f>
        <v>0.17952755905511814</v>
      </c>
      <c r="O383" s="13">
        <f t="shared" si="27"/>
        <v>0</v>
      </c>
      <c r="P383" s="14">
        <f t="shared" si="28"/>
        <v>0</v>
      </c>
    </row>
    <row r="384" spans="8:16" x14ac:dyDescent="0.25">
      <c r="H384" s="6" t="s">
        <v>27</v>
      </c>
      <c r="I384" s="13">
        <f t="shared" si="25"/>
        <v>0</v>
      </c>
      <c r="J384" s="14">
        <f t="shared" si="26"/>
        <v>0</v>
      </c>
      <c r="K384" s="15" cm="1">
        <f t="array" ref="K384">AVERAGE(ABS($I$3:I384))</f>
        <v>5.5314136125654452</v>
      </c>
      <c r="L384" s="15" cm="1">
        <f t="array" ref="L384">AVERAGE(ABS($J$3:J384))</f>
        <v>0.17905759162303667</v>
      </c>
      <c r="O384" s="13">
        <f t="shared" si="27"/>
        <v>0</v>
      </c>
      <c r="P384" s="14">
        <f t="shared" si="28"/>
        <v>0</v>
      </c>
    </row>
    <row r="385" spans="8:16" x14ac:dyDescent="0.25">
      <c r="H385" s="6" t="s">
        <v>27</v>
      </c>
      <c r="I385" s="13">
        <f t="shared" si="25"/>
        <v>0</v>
      </c>
      <c r="J385" s="14">
        <f t="shared" si="26"/>
        <v>0</v>
      </c>
      <c r="K385" s="15" cm="1">
        <f t="array" ref="K385">AVERAGE(ABS($I$3:I385))</f>
        <v>5.5169712793733678</v>
      </c>
      <c r="L385" s="15" cm="1">
        <f t="array" ref="L385">AVERAGE(ABS($J$3:J385))</f>
        <v>0.17859007832898174</v>
      </c>
      <c r="O385" s="13">
        <f t="shared" si="27"/>
        <v>0</v>
      </c>
      <c r="P385" s="14">
        <f t="shared" si="28"/>
        <v>0</v>
      </c>
    </row>
    <row r="386" spans="8:16" x14ac:dyDescent="0.25">
      <c r="H386" s="6" t="s">
        <v>27</v>
      </c>
      <c r="I386" s="13">
        <f t="shared" si="25"/>
        <v>0</v>
      </c>
      <c r="J386" s="14">
        <f t="shared" si="26"/>
        <v>0</v>
      </c>
      <c r="K386" s="15" cm="1">
        <f t="array" ref="K386">AVERAGE(ABS($I$3:I386))</f>
        <v>5.502604166666667</v>
      </c>
      <c r="L386" s="15" cm="1">
        <f t="array" ref="L386">AVERAGE(ABS($J$3:J386))</f>
        <v>0.17812500000000001</v>
      </c>
      <c r="O386" s="13">
        <f t="shared" si="27"/>
        <v>0</v>
      </c>
      <c r="P386" s="14">
        <f t="shared" si="28"/>
        <v>0</v>
      </c>
    </row>
    <row r="387" spans="8:16" x14ac:dyDescent="0.25">
      <c r="H387" s="6" t="s">
        <v>27</v>
      </c>
      <c r="I387" s="13">
        <f t="shared" si="25"/>
        <v>0</v>
      </c>
      <c r="J387" s="14">
        <f t="shared" si="26"/>
        <v>0</v>
      </c>
      <c r="K387" s="15" cm="1">
        <f t="array" ref="K387">AVERAGE(ABS($I$3:I387))</f>
        <v>5.488311688311688</v>
      </c>
      <c r="L387" s="15" cm="1">
        <f t="array" ref="L387">AVERAGE(ABS($J$3:J387))</f>
        <v>0.17766233766233769</v>
      </c>
      <c r="O387" s="13">
        <f t="shared" si="27"/>
        <v>0</v>
      </c>
      <c r="P387" s="14">
        <f t="shared" si="28"/>
        <v>0</v>
      </c>
    </row>
    <row r="388" spans="8:16" x14ac:dyDescent="0.25">
      <c r="H388" s="6" t="s">
        <v>27</v>
      </c>
      <c r="I388" s="13">
        <f t="shared" ref="I388:I451" si="29">(E388-D388)</f>
        <v>0</v>
      </c>
      <c r="J388" s="14">
        <f t="shared" ref="J388:J451" si="30">(G388-F388)</f>
        <v>0</v>
      </c>
      <c r="K388" s="15" cm="1">
        <f t="array" ref="K388">AVERAGE(ABS($I$3:I388))</f>
        <v>5.4740932642487046</v>
      </c>
      <c r="L388" s="15" cm="1">
        <f t="array" ref="L388">AVERAGE(ABS($J$3:J388))</f>
        <v>0.17720207253886011</v>
      </c>
      <c r="O388" s="13">
        <f t="shared" ref="O388:O451" si="31">(M388-D388)</f>
        <v>0</v>
      </c>
      <c r="P388" s="14">
        <f t="shared" ref="P388:P451" si="32">(N388-F388)</f>
        <v>0</v>
      </c>
    </row>
    <row r="389" spans="8:16" x14ac:dyDescent="0.25">
      <c r="H389" s="6" t="s">
        <v>27</v>
      </c>
      <c r="I389" s="13">
        <f t="shared" si="29"/>
        <v>0</v>
      </c>
      <c r="J389" s="14">
        <f t="shared" si="30"/>
        <v>0</v>
      </c>
      <c r="K389" s="15" cm="1">
        <f t="array" ref="K389">AVERAGE(ABS($I$3:I389))</f>
        <v>5.4599483204134369</v>
      </c>
      <c r="L389" s="15" cm="1">
        <f t="array" ref="L389">AVERAGE(ABS($J$3:J389))</f>
        <v>0.17674418604651165</v>
      </c>
      <c r="O389" s="13">
        <f t="shared" si="31"/>
        <v>0</v>
      </c>
      <c r="P389" s="14">
        <f t="shared" si="32"/>
        <v>0</v>
      </c>
    </row>
    <row r="390" spans="8:16" x14ac:dyDescent="0.25">
      <c r="H390" s="6" t="s">
        <v>27</v>
      </c>
      <c r="I390" s="13">
        <f t="shared" si="29"/>
        <v>0</v>
      </c>
      <c r="J390" s="14">
        <f t="shared" si="30"/>
        <v>0</v>
      </c>
      <c r="K390" s="15" cm="1">
        <f t="array" ref="K390">AVERAGE(ABS($I$3:I390))</f>
        <v>5.445876288659794</v>
      </c>
      <c r="L390" s="15" cm="1">
        <f t="array" ref="L390">AVERAGE(ABS($J$3:J390))</f>
        <v>0.17628865979381445</v>
      </c>
      <c r="O390" s="13">
        <f t="shared" si="31"/>
        <v>0</v>
      </c>
      <c r="P390" s="14">
        <f t="shared" si="32"/>
        <v>0</v>
      </c>
    </row>
    <row r="391" spans="8:16" x14ac:dyDescent="0.25">
      <c r="H391" s="6" t="s">
        <v>27</v>
      </c>
      <c r="I391" s="13">
        <f t="shared" si="29"/>
        <v>0</v>
      </c>
      <c r="J391" s="14">
        <f t="shared" si="30"/>
        <v>0</v>
      </c>
      <c r="K391" s="15" cm="1">
        <f t="array" ref="K391">AVERAGE(ABS($I$3:I391))</f>
        <v>5.4318766066838045</v>
      </c>
      <c r="L391" s="15" cm="1">
        <f t="array" ref="L391">AVERAGE(ABS($J$3:J391))</f>
        <v>0.17583547557840618</v>
      </c>
      <c r="O391" s="13">
        <f t="shared" si="31"/>
        <v>0</v>
      </c>
      <c r="P391" s="14">
        <f t="shared" si="32"/>
        <v>0</v>
      </c>
    </row>
    <row r="392" spans="8:16" x14ac:dyDescent="0.25">
      <c r="H392" s="6" t="s">
        <v>27</v>
      </c>
      <c r="I392" s="13">
        <f t="shared" si="29"/>
        <v>0</v>
      </c>
      <c r="J392" s="14">
        <f t="shared" si="30"/>
        <v>0</v>
      </c>
      <c r="K392" s="15" cm="1">
        <f t="array" ref="K392">AVERAGE(ABS($I$3:I392))</f>
        <v>5.4179487179487182</v>
      </c>
      <c r="L392" s="15" cm="1">
        <f t="array" ref="L392">AVERAGE(ABS($J$3:J392))</f>
        <v>0.17538461538461539</v>
      </c>
      <c r="O392" s="13">
        <f t="shared" si="31"/>
        <v>0</v>
      </c>
      <c r="P392" s="14">
        <f t="shared" si="32"/>
        <v>0</v>
      </c>
    </row>
    <row r="393" spans="8:16" x14ac:dyDescent="0.25">
      <c r="H393" s="6" t="s">
        <v>27</v>
      </c>
      <c r="I393" s="13">
        <f t="shared" si="29"/>
        <v>0</v>
      </c>
      <c r="J393" s="14">
        <f t="shared" si="30"/>
        <v>0</v>
      </c>
      <c r="K393" s="15" cm="1">
        <f t="array" ref="K393">AVERAGE(ABS($I$3:I393))</f>
        <v>5.4040920716112533</v>
      </c>
      <c r="L393" s="15" cm="1">
        <f t="array" ref="L393">AVERAGE(ABS($J$3:J393))</f>
        <v>0.17493606138107418</v>
      </c>
      <c r="O393" s="13">
        <f t="shared" si="31"/>
        <v>0</v>
      </c>
      <c r="P393" s="14">
        <f t="shared" si="32"/>
        <v>0</v>
      </c>
    </row>
    <row r="394" spans="8:16" x14ac:dyDescent="0.25">
      <c r="H394" s="6" t="s">
        <v>27</v>
      </c>
      <c r="I394" s="13">
        <f t="shared" si="29"/>
        <v>0</v>
      </c>
      <c r="J394" s="14">
        <f t="shared" si="30"/>
        <v>0</v>
      </c>
      <c r="K394" s="15" cm="1">
        <f t="array" ref="K394">AVERAGE(ABS($I$3:I394))</f>
        <v>5.3903061224489797</v>
      </c>
      <c r="L394" s="15" cm="1">
        <f t="array" ref="L394">AVERAGE(ABS($J$3:J394))</f>
        <v>0.17448979591836736</v>
      </c>
      <c r="O394" s="13">
        <f t="shared" si="31"/>
        <v>0</v>
      </c>
      <c r="P394" s="14">
        <f t="shared" si="32"/>
        <v>0</v>
      </c>
    </row>
    <row r="395" spans="8:16" x14ac:dyDescent="0.25">
      <c r="H395" s="6" t="s">
        <v>27</v>
      </c>
      <c r="I395" s="13">
        <f t="shared" si="29"/>
        <v>0</v>
      </c>
      <c r="J395" s="14">
        <f t="shared" si="30"/>
        <v>0</v>
      </c>
      <c r="K395" s="15" cm="1">
        <f t="array" ref="K395">AVERAGE(ABS($I$3:I395))</f>
        <v>5.3765903307888037</v>
      </c>
      <c r="L395" s="15" cm="1">
        <f t="array" ref="L395">AVERAGE(ABS($J$3:J395))</f>
        <v>0.17404580152671756</v>
      </c>
      <c r="O395" s="13">
        <f t="shared" si="31"/>
        <v>0</v>
      </c>
      <c r="P395" s="14">
        <f t="shared" si="32"/>
        <v>0</v>
      </c>
    </row>
    <row r="396" spans="8:16" x14ac:dyDescent="0.25">
      <c r="H396" s="6" t="s">
        <v>27</v>
      </c>
      <c r="I396" s="13">
        <f t="shared" si="29"/>
        <v>0</v>
      </c>
      <c r="J396" s="14">
        <f t="shared" si="30"/>
        <v>0</v>
      </c>
      <c r="K396" s="15" cm="1">
        <f t="array" ref="K396">AVERAGE(ABS($I$3:I396))</f>
        <v>5.3629441624365484</v>
      </c>
      <c r="L396" s="15" cm="1">
        <f t="array" ref="L396">AVERAGE(ABS($J$3:J396))</f>
        <v>0.17360406091370559</v>
      </c>
      <c r="O396" s="13">
        <f t="shared" si="31"/>
        <v>0</v>
      </c>
      <c r="P396" s="14">
        <f t="shared" si="32"/>
        <v>0</v>
      </c>
    </row>
    <row r="397" spans="8:16" x14ac:dyDescent="0.25">
      <c r="H397" s="6" t="s">
        <v>27</v>
      </c>
      <c r="I397" s="13">
        <f t="shared" si="29"/>
        <v>0</v>
      </c>
      <c r="J397" s="14">
        <f t="shared" si="30"/>
        <v>0</v>
      </c>
      <c r="K397" s="15" cm="1">
        <f t="array" ref="K397">AVERAGE(ABS($I$3:I397))</f>
        <v>5.349367088607595</v>
      </c>
      <c r="L397" s="15" cm="1">
        <f t="array" ref="L397">AVERAGE(ABS($J$3:J397))</f>
        <v>0.17316455696202532</v>
      </c>
      <c r="O397" s="13">
        <f t="shared" si="31"/>
        <v>0</v>
      </c>
      <c r="P397" s="14">
        <f t="shared" si="32"/>
        <v>0</v>
      </c>
    </row>
    <row r="398" spans="8:16" x14ac:dyDescent="0.25">
      <c r="H398" s="6" t="s">
        <v>27</v>
      </c>
      <c r="I398" s="13">
        <f t="shared" si="29"/>
        <v>0</v>
      </c>
      <c r="J398" s="14">
        <f t="shared" si="30"/>
        <v>0</v>
      </c>
      <c r="K398" s="15" cm="1">
        <f t="array" ref="K398">AVERAGE(ABS($I$3:I398))</f>
        <v>5.3358585858585856</v>
      </c>
      <c r="L398" s="15" cm="1">
        <f t="array" ref="L398">AVERAGE(ABS($J$3:J398))</f>
        <v>0.17272727272727273</v>
      </c>
      <c r="O398" s="13">
        <f t="shared" si="31"/>
        <v>0</v>
      </c>
      <c r="P398" s="14">
        <f t="shared" si="32"/>
        <v>0</v>
      </c>
    </row>
    <row r="399" spans="8:16" x14ac:dyDescent="0.25">
      <c r="H399" s="6" t="s">
        <v>27</v>
      </c>
      <c r="I399" s="13">
        <f t="shared" si="29"/>
        <v>0</v>
      </c>
      <c r="J399" s="14">
        <f t="shared" si="30"/>
        <v>0</v>
      </c>
      <c r="K399" s="15" cm="1">
        <f t="array" ref="K399">AVERAGE(ABS($I$3:I399))</f>
        <v>5.3224181360201515</v>
      </c>
      <c r="L399" s="15" cm="1">
        <f t="array" ref="L399">AVERAGE(ABS($J$3:J399))</f>
        <v>0.17229219143576827</v>
      </c>
      <c r="O399" s="13">
        <f t="shared" si="31"/>
        <v>0</v>
      </c>
      <c r="P399" s="14">
        <f t="shared" si="32"/>
        <v>0</v>
      </c>
    </row>
    <row r="400" spans="8:16" x14ac:dyDescent="0.25">
      <c r="H400" s="6" t="s">
        <v>27</v>
      </c>
      <c r="I400" s="13">
        <f t="shared" si="29"/>
        <v>0</v>
      </c>
      <c r="J400" s="14">
        <f t="shared" si="30"/>
        <v>0</v>
      </c>
      <c r="K400" s="15" cm="1">
        <f t="array" ref="K400">AVERAGE(ABS($I$3:I400))</f>
        <v>5.3090452261306531</v>
      </c>
      <c r="L400" s="15" cm="1">
        <f t="array" ref="L400">AVERAGE(ABS($J$3:J400))</f>
        <v>0.17185929648241208</v>
      </c>
      <c r="O400" s="13">
        <f t="shared" si="31"/>
        <v>0</v>
      </c>
      <c r="P400" s="14">
        <f t="shared" si="32"/>
        <v>0</v>
      </c>
    </row>
    <row r="401" spans="8:16" x14ac:dyDescent="0.25">
      <c r="H401" s="6" t="s">
        <v>27</v>
      </c>
      <c r="I401" s="13">
        <f t="shared" si="29"/>
        <v>0</v>
      </c>
      <c r="J401" s="14">
        <f t="shared" si="30"/>
        <v>0</v>
      </c>
      <c r="K401" s="15" cm="1">
        <f t="array" ref="K401">AVERAGE(ABS($I$3:I401))</f>
        <v>5.295739348370927</v>
      </c>
      <c r="L401" s="15" cm="1">
        <f t="array" ref="L401">AVERAGE(ABS($J$3:J401))</f>
        <v>0.17142857142857143</v>
      </c>
      <c r="O401" s="13">
        <f t="shared" si="31"/>
        <v>0</v>
      </c>
      <c r="P401" s="14">
        <f t="shared" si="32"/>
        <v>0</v>
      </c>
    </row>
    <row r="402" spans="8:16" x14ac:dyDescent="0.25">
      <c r="H402" s="6" t="s">
        <v>27</v>
      </c>
      <c r="I402" s="13">
        <f t="shared" si="29"/>
        <v>0</v>
      </c>
      <c r="J402" s="14">
        <f t="shared" si="30"/>
        <v>0</v>
      </c>
      <c r="K402" s="15" cm="1">
        <f t="array" ref="K402">AVERAGE(ABS($I$3:I402))</f>
        <v>5.2824999999999998</v>
      </c>
      <c r="L402" s="15" cm="1">
        <f t="array" ref="L402">AVERAGE(ABS($J$3:J402))</f>
        <v>0.17100000000000001</v>
      </c>
      <c r="O402" s="13">
        <f t="shared" si="31"/>
        <v>0</v>
      </c>
      <c r="P402" s="14">
        <f t="shared" si="32"/>
        <v>0</v>
      </c>
    </row>
    <row r="403" spans="8:16" x14ac:dyDescent="0.25">
      <c r="H403" s="6" t="s">
        <v>27</v>
      </c>
      <c r="I403" s="13">
        <f t="shared" si="29"/>
        <v>0</v>
      </c>
      <c r="J403" s="14">
        <f t="shared" si="30"/>
        <v>0</v>
      </c>
      <c r="K403" s="15" cm="1">
        <f t="array" ref="K403">AVERAGE(ABS($I$3:I403))</f>
        <v>5.2693266832917702</v>
      </c>
      <c r="L403" s="15" cm="1">
        <f t="array" ref="L403">AVERAGE(ABS($J$3:J403))</f>
        <v>0.17057356608478805</v>
      </c>
      <c r="O403" s="13">
        <f t="shared" si="31"/>
        <v>0</v>
      </c>
      <c r="P403" s="14">
        <f t="shared" si="32"/>
        <v>0</v>
      </c>
    </row>
    <row r="404" spans="8:16" x14ac:dyDescent="0.25">
      <c r="H404" s="6" t="s">
        <v>27</v>
      </c>
      <c r="I404" s="13">
        <f t="shared" si="29"/>
        <v>0</v>
      </c>
      <c r="J404" s="14">
        <f t="shared" si="30"/>
        <v>0</v>
      </c>
      <c r="K404" s="15" cm="1">
        <f t="array" ref="K404">AVERAGE(ABS($I$3:I404))</f>
        <v>5.2562189054726369</v>
      </c>
      <c r="L404" s="15" cm="1">
        <f t="array" ref="L404">AVERAGE(ABS($J$3:J404))</f>
        <v>0.17014925373134329</v>
      </c>
      <c r="O404" s="13">
        <f t="shared" si="31"/>
        <v>0</v>
      </c>
      <c r="P404" s="14">
        <f t="shared" si="32"/>
        <v>0</v>
      </c>
    </row>
    <row r="405" spans="8:16" x14ac:dyDescent="0.25">
      <c r="H405" s="6" t="s">
        <v>27</v>
      </c>
      <c r="I405" s="13">
        <f t="shared" si="29"/>
        <v>0</v>
      </c>
      <c r="J405" s="14">
        <f t="shared" si="30"/>
        <v>0</v>
      </c>
      <c r="K405" s="15" cm="1">
        <f t="array" ref="K405">AVERAGE(ABS($I$3:I405))</f>
        <v>5.2431761786600495</v>
      </c>
      <c r="L405" s="15" cm="1">
        <f t="array" ref="L405">AVERAGE(ABS($J$3:J405))</f>
        <v>0.16972704714640199</v>
      </c>
      <c r="O405" s="13">
        <f t="shared" si="31"/>
        <v>0</v>
      </c>
      <c r="P405" s="14">
        <f t="shared" si="32"/>
        <v>0</v>
      </c>
    </row>
    <row r="406" spans="8:16" x14ac:dyDescent="0.25">
      <c r="H406" s="6" t="s">
        <v>27</v>
      </c>
      <c r="I406" s="13">
        <f t="shared" si="29"/>
        <v>0</v>
      </c>
      <c r="J406" s="14">
        <f t="shared" si="30"/>
        <v>0</v>
      </c>
      <c r="K406" s="15" cm="1">
        <f t="array" ref="K406">AVERAGE(ABS($I$3:I406))</f>
        <v>5.2301980198019802</v>
      </c>
      <c r="L406" s="15" cm="1">
        <f t="array" ref="L406">AVERAGE(ABS($J$3:J406))</f>
        <v>0.16930693069306932</v>
      </c>
      <c r="O406" s="13">
        <f t="shared" si="31"/>
        <v>0</v>
      </c>
      <c r="P406" s="14">
        <f t="shared" si="32"/>
        <v>0</v>
      </c>
    </row>
    <row r="407" spans="8:16" x14ac:dyDescent="0.25">
      <c r="H407" s="6" t="s">
        <v>27</v>
      </c>
      <c r="I407" s="13">
        <f t="shared" si="29"/>
        <v>0</v>
      </c>
      <c r="J407" s="14">
        <f t="shared" si="30"/>
        <v>0</v>
      </c>
      <c r="K407" s="15" cm="1">
        <f t="array" ref="K407">AVERAGE(ABS($I$3:I407))</f>
        <v>5.2172839506172837</v>
      </c>
      <c r="L407" s="15" cm="1">
        <f t="array" ref="L407">AVERAGE(ABS($J$3:J407))</f>
        <v>0.16888888888888889</v>
      </c>
      <c r="O407" s="13">
        <f t="shared" si="31"/>
        <v>0</v>
      </c>
      <c r="P407" s="14">
        <f t="shared" si="32"/>
        <v>0</v>
      </c>
    </row>
    <row r="408" spans="8:16" x14ac:dyDescent="0.25">
      <c r="H408" s="6" t="s">
        <v>27</v>
      </c>
      <c r="I408" s="13">
        <f t="shared" si="29"/>
        <v>0</v>
      </c>
      <c r="J408" s="14">
        <f t="shared" si="30"/>
        <v>0</v>
      </c>
      <c r="K408" s="15" cm="1">
        <f t="array" ref="K408">AVERAGE(ABS($I$3:I408))</f>
        <v>5.2044334975369457</v>
      </c>
      <c r="L408" s="15" cm="1">
        <f t="array" ref="L408">AVERAGE(ABS($J$3:J408))</f>
        <v>0.16847290640394091</v>
      </c>
      <c r="O408" s="13">
        <f t="shared" si="31"/>
        <v>0</v>
      </c>
      <c r="P408" s="14">
        <f t="shared" si="32"/>
        <v>0</v>
      </c>
    </row>
    <row r="409" spans="8:16" x14ac:dyDescent="0.25">
      <c r="H409" s="6" t="s">
        <v>27</v>
      </c>
      <c r="I409" s="13">
        <f t="shared" si="29"/>
        <v>0</v>
      </c>
      <c r="J409" s="14">
        <f t="shared" si="30"/>
        <v>0</v>
      </c>
      <c r="K409" s="15" cm="1">
        <f t="array" ref="K409">AVERAGE(ABS($I$3:I409))</f>
        <v>5.1916461916461918</v>
      </c>
      <c r="L409" s="15" cm="1">
        <f t="array" ref="L409">AVERAGE(ABS($J$3:J409))</f>
        <v>0.16805896805896808</v>
      </c>
      <c r="O409" s="13">
        <f t="shared" si="31"/>
        <v>0</v>
      </c>
      <c r="P409" s="14">
        <f t="shared" si="32"/>
        <v>0</v>
      </c>
    </row>
    <row r="410" spans="8:16" x14ac:dyDescent="0.25">
      <c r="H410" s="6" t="s">
        <v>27</v>
      </c>
      <c r="I410" s="13">
        <f t="shared" si="29"/>
        <v>0</v>
      </c>
      <c r="J410" s="14">
        <f t="shared" si="30"/>
        <v>0</v>
      </c>
      <c r="K410" s="15" cm="1">
        <f t="array" ref="K410">AVERAGE(ABS($I$3:I410))</f>
        <v>5.1789215686274508</v>
      </c>
      <c r="L410" s="15" cm="1">
        <f t="array" ref="L410">AVERAGE(ABS($J$3:J410))</f>
        <v>0.16764705882352943</v>
      </c>
      <c r="O410" s="13">
        <f t="shared" si="31"/>
        <v>0</v>
      </c>
      <c r="P410" s="14">
        <f t="shared" si="32"/>
        <v>0</v>
      </c>
    </row>
    <row r="411" spans="8:16" x14ac:dyDescent="0.25">
      <c r="H411" s="6" t="s">
        <v>27</v>
      </c>
      <c r="I411" s="13">
        <f t="shared" si="29"/>
        <v>0</v>
      </c>
      <c r="J411" s="14">
        <f t="shared" si="30"/>
        <v>0</v>
      </c>
      <c r="K411" s="15" cm="1">
        <f t="array" ref="K411">AVERAGE(ABS($I$3:I411))</f>
        <v>5.1662591687041566</v>
      </c>
      <c r="L411" s="15" cm="1">
        <f t="array" ref="L411">AVERAGE(ABS($J$3:J411))</f>
        <v>0.16723716381418094</v>
      </c>
      <c r="O411" s="13">
        <f t="shared" si="31"/>
        <v>0</v>
      </c>
      <c r="P411" s="14">
        <f t="shared" si="32"/>
        <v>0</v>
      </c>
    </row>
    <row r="412" spans="8:16" x14ac:dyDescent="0.25">
      <c r="H412" s="6" t="s">
        <v>27</v>
      </c>
      <c r="I412" s="13">
        <f t="shared" si="29"/>
        <v>0</v>
      </c>
      <c r="J412" s="14">
        <f t="shared" si="30"/>
        <v>0</v>
      </c>
      <c r="K412" s="15" cm="1">
        <f t="array" ref="K412">AVERAGE(ABS($I$3:I412))</f>
        <v>5.1536585365853655</v>
      </c>
      <c r="L412" s="15" cm="1">
        <f t="array" ref="L412">AVERAGE(ABS($J$3:J412))</f>
        <v>0.16682926829268294</v>
      </c>
      <c r="O412" s="13">
        <f t="shared" si="31"/>
        <v>0</v>
      </c>
      <c r="P412" s="14">
        <f t="shared" si="32"/>
        <v>0</v>
      </c>
    </row>
    <row r="413" spans="8:16" x14ac:dyDescent="0.25">
      <c r="H413" s="6" t="s">
        <v>27</v>
      </c>
      <c r="I413" s="13">
        <f t="shared" si="29"/>
        <v>0</v>
      </c>
      <c r="J413" s="14">
        <f t="shared" si="30"/>
        <v>0</v>
      </c>
      <c r="K413" s="15" cm="1">
        <f t="array" ref="K413">AVERAGE(ABS($I$3:I413))</f>
        <v>5.1411192214111923</v>
      </c>
      <c r="L413" s="15" cm="1">
        <f t="array" ref="L413">AVERAGE(ABS($J$3:J413))</f>
        <v>0.16642335766423358</v>
      </c>
      <c r="O413" s="13">
        <f t="shared" si="31"/>
        <v>0</v>
      </c>
      <c r="P413" s="14">
        <f t="shared" si="32"/>
        <v>0</v>
      </c>
    </row>
    <row r="414" spans="8:16" x14ac:dyDescent="0.25">
      <c r="H414" s="6" t="s">
        <v>27</v>
      </c>
      <c r="I414" s="13">
        <f t="shared" si="29"/>
        <v>0</v>
      </c>
      <c r="J414" s="14">
        <f t="shared" si="30"/>
        <v>0</v>
      </c>
      <c r="K414" s="15" cm="1">
        <f t="array" ref="K414">AVERAGE(ABS($I$3:I414))</f>
        <v>5.1286407766990294</v>
      </c>
      <c r="L414" s="15" cm="1">
        <f t="array" ref="L414">AVERAGE(ABS($J$3:J414))</f>
        <v>0.16601941747572818</v>
      </c>
      <c r="O414" s="13">
        <f t="shared" si="31"/>
        <v>0</v>
      </c>
      <c r="P414" s="14">
        <f t="shared" si="32"/>
        <v>0</v>
      </c>
    </row>
    <row r="415" spans="8:16" x14ac:dyDescent="0.25">
      <c r="H415" s="6" t="s">
        <v>27</v>
      </c>
      <c r="I415" s="13">
        <f t="shared" si="29"/>
        <v>0</v>
      </c>
      <c r="J415" s="14">
        <f t="shared" si="30"/>
        <v>0</v>
      </c>
      <c r="K415" s="15" cm="1">
        <f t="array" ref="K415">AVERAGE(ABS($I$3:I415))</f>
        <v>5.1162227602905572</v>
      </c>
      <c r="L415" s="15" cm="1">
        <f t="array" ref="L415">AVERAGE(ABS($J$3:J415))</f>
        <v>0.16561743341404359</v>
      </c>
      <c r="O415" s="13">
        <f t="shared" si="31"/>
        <v>0</v>
      </c>
      <c r="P415" s="14">
        <f t="shared" si="32"/>
        <v>0</v>
      </c>
    </row>
    <row r="416" spans="8:16" x14ac:dyDescent="0.25">
      <c r="H416" s="6" t="s">
        <v>27</v>
      </c>
      <c r="I416" s="13">
        <f t="shared" si="29"/>
        <v>0</v>
      </c>
      <c r="J416" s="14">
        <f t="shared" si="30"/>
        <v>0</v>
      </c>
      <c r="K416" s="15" cm="1">
        <f t="array" ref="K416">AVERAGE(ABS($I$3:I416))</f>
        <v>5.1038647342995169</v>
      </c>
      <c r="L416" s="15" cm="1">
        <f t="array" ref="L416">AVERAGE(ABS($J$3:J416))</f>
        <v>0.16521739130434784</v>
      </c>
      <c r="O416" s="13">
        <f t="shared" si="31"/>
        <v>0</v>
      </c>
      <c r="P416" s="14">
        <f t="shared" si="32"/>
        <v>0</v>
      </c>
    </row>
    <row r="417" spans="8:16" x14ac:dyDescent="0.25">
      <c r="H417" s="6" t="s">
        <v>27</v>
      </c>
      <c r="I417" s="13">
        <f t="shared" si="29"/>
        <v>0</v>
      </c>
      <c r="J417" s="14">
        <f t="shared" si="30"/>
        <v>0</v>
      </c>
      <c r="K417" s="15" cm="1">
        <f t="array" ref="K417">AVERAGE(ABS($I$3:I417))</f>
        <v>5.0915662650602407</v>
      </c>
      <c r="L417" s="15" cm="1">
        <f t="array" ref="L417">AVERAGE(ABS($J$3:J417))</f>
        <v>0.16481927710843375</v>
      </c>
      <c r="O417" s="13">
        <f t="shared" si="31"/>
        <v>0</v>
      </c>
      <c r="P417" s="14">
        <f t="shared" si="32"/>
        <v>0</v>
      </c>
    </row>
    <row r="418" spans="8:16" x14ac:dyDescent="0.25">
      <c r="H418" s="6" t="s">
        <v>27</v>
      </c>
      <c r="I418" s="13">
        <f t="shared" si="29"/>
        <v>0</v>
      </c>
      <c r="J418" s="14">
        <f t="shared" si="30"/>
        <v>0</v>
      </c>
      <c r="K418" s="15" cm="1">
        <f t="array" ref="K418">AVERAGE(ABS($I$3:I418))</f>
        <v>5.0793269230769234</v>
      </c>
      <c r="L418" s="15" cm="1">
        <f t="array" ref="L418">AVERAGE(ABS($J$3:J418))</f>
        <v>0.16442307692307695</v>
      </c>
      <c r="O418" s="13">
        <f t="shared" si="31"/>
        <v>0</v>
      </c>
      <c r="P418" s="14">
        <f t="shared" si="32"/>
        <v>0</v>
      </c>
    </row>
    <row r="419" spans="8:16" x14ac:dyDescent="0.25">
      <c r="H419" s="6" t="s">
        <v>27</v>
      </c>
      <c r="I419" s="13">
        <f t="shared" si="29"/>
        <v>0</v>
      </c>
      <c r="J419" s="14">
        <f t="shared" si="30"/>
        <v>0</v>
      </c>
      <c r="K419" s="15" cm="1">
        <f t="array" ref="K419">AVERAGE(ABS($I$3:I419))</f>
        <v>5.0671462829736207</v>
      </c>
      <c r="L419" s="15" cm="1">
        <f t="array" ref="L419">AVERAGE(ABS($J$3:J419))</f>
        <v>0.16402877697841728</v>
      </c>
      <c r="O419" s="13">
        <f t="shared" si="31"/>
        <v>0</v>
      </c>
      <c r="P419" s="14">
        <f t="shared" si="32"/>
        <v>0</v>
      </c>
    </row>
    <row r="420" spans="8:16" x14ac:dyDescent="0.25">
      <c r="H420" s="6" t="s">
        <v>27</v>
      </c>
      <c r="I420" s="13">
        <f t="shared" si="29"/>
        <v>0</v>
      </c>
      <c r="J420" s="14">
        <f t="shared" si="30"/>
        <v>0</v>
      </c>
      <c r="K420" s="15" cm="1">
        <f t="array" ref="K420">AVERAGE(ABS($I$3:I420))</f>
        <v>5.0550239234449759</v>
      </c>
      <c r="L420" s="15" cm="1">
        <f t="array" ref="L420">AVERAGE(ABS($J$3:J420))</f>
        <v>0.16363636363636366</v>
      </c>
      <c r="O420" s="13">
        <f t="shared" si="31"/>
        <v>0</v>
      </c>
      <c r="P420" s="14">
        <f t="shared" si="32"/>
        <v>0</v>
      </c>
    </row>
    <row r="421" spans="8:16" x14ac:dyDescent="0.25">
      <c r="H421" s="6" t="s">
        <v>27</v>
      </c>
      <c r="I421" s="13">
        <f t="shared" si="29"/>
        <v>0</v>
      </c>
      <c r="J421" s="14">
        <f t="shared" si="30"/>
        <v>0</v>
      </c>
      <c r="K421" s="15" cm="1">
        <f t="array" ref="K421">AVERAGE(ABS($I$3:I421))</f>
        <v>5.042959427207637</v>
      </c>
      <c r="L421" s="15" cm="1">
        <f t="array" ref="L421">AVERAGE(ABS($J$3:J421))</f>
        <v>0.16324582338902149</v>
      </c>
      <c r="O421" s="13">
        <f t="shared" si="31"/>
        <v>0</v>
      </c>
      <c r="P421" s="14">
        <f t="shared" si="32"/>
        <v>0</v>
      </c>
    </row>
    <row r="422" spans="8:16" x14ac:dyDescent="0.25">
      <c r="H422" s="6" t="s">
        <v>27</v>
      </c>
      <c r="I422" s="13">
        <f t="shared" si="29"/>
        <v>0</v>
      </c>
      <c r="J422" s="14">
        <f t="shared" si="30"/>
        <v>0</v>
      </c>
      <c r="K422" s="15" cm="1">
        <f t="array" ref="K422">AVERAGE(ABS($I$3:I422))</f>
        <v>5.0309523809523808</v>
      </c>
      <c r="L422" s="15" cm="1">
        <f t="array" ref="L422">AVERAGE(ABS($J$3:J422))</f>
        <v>0.16285714285714287</v>
      </c>
      <c r="O422" s="13">
        <f t="shared" si="31"/>
        <v>0</v>
      </c>
      <c r="P422" s="14">
        <f t="shared" si="32"/>
        <v>0</v>
      </c>
    </row>
    <row r="423" spans="8:16" x14ac:dyDescent="0.25">
      <c r="H423" s="6" t="s">
        <v>27</v>
      </c>
      <c r="I423" s="13">
        <f t="shared" si="29"/>
        <v>0</v>
      </c>
      <c r="J423" s="14">
        <f t="shared" si="30"/>
        <v>0</v>
      </c>
      <c r="K423" s="15" cm="1">
        <f t="array" ref="K423">AVERAGE(ABS($I$3:I423))</f>
        <v>5.0190023752969122</v>
      </c>
      <c r="L423" s="15" cm="1">
        <f t="array" ref="L423">AVERAGE(ABS($J$3:J423))</f>
        <v>0.16247030878859858</v>
      </c>
      <c r="O423" s="13">
        <f t="shared" si="31"/>
        <v>0</v>
      </c>
      <c r="P423" s="14">
        <f t="shared" si="32"/>
        <v>0</v>
      </c>
    </row>
    <row r="424" spans="8:16" x14ac:dyDescent="0.25">
      <c r="H424" s="6" t="s">
        <v>27</v>
      </c>
      <c r="I424" s="13">
        <f t="shared" si="29"/>
        <v>0</v>
      </c>
      <c r="J424" s="14">
        <f t="shared" si="30"/>
        <v>0</v>
      </c>
      <c r="K424" s="15" cm="1">
        <f t="array" ref="K424">AVERAGE(ABS($I$3:I424))</f>
        <v>5.0071090047393367</v>
      </c>
      <c r="L424" s="15" cm="1">
        <f t="array" ref="L424">AVERAGE(ABS($J$3:J424))</f>
        <v>0.16208530805687205</v>
      </c>
      <c r="O424" s="13">
        <f t="shared" si="31"/>
        <v>0</v>
      </c>
      <c r="P424" s="14">
        <f t="shared" si="32"/>
        <v>0</v>
      </c>
    </row>
    <row r="425" spans="8:16" x14ac:dyDescent="0.25">
      <c r="H425" s="6" t="s">
        <v>27</v>
      </c>
      <c r="I425" s="13">
        <f t="shared" si="29"/>
        <v>0</v>
      </c>
      <c r="J425" s="14">
        <f t="shared" si="30"/>
        <v>0</v>
      </c>
      <c r="K425" s="15" cm="1">
        <f t="array" ref="K425">AVERAGE(ABS($I$3:I425))</f>
        <v>4.9952718676122929</v>
      </c>
      <c r="L425" s="15" cm="1">
        <f t="array" ref="L425">AVERAGE(ABS($J$3:J425))</f>
        <v>0.16170212765957448</v>
      </c>
      <c r="O425" s="13">
        <f t="shared" si="31"/>
        <v>0</v>
      </c>
      <c r="P425" s="14">
        <f t="shared" si="32"/>
        <v>0</v>
      </c>
    </row>
    <row r="426" spans="8:16" x14ac:dyDescent="0.25">
      <c r="H426" s="6" t="s">
        <v>27</v>
      </c>
      <c r="I426" s="13">
        <f t="shared" si="29"/>
        <v>0</v>
      </c>
      <c r="J426" s="14">
        <f t="shared" si="30"/>
        <v>0</v>
      </c>
      <c r="K426" s="15" cm="1">
        <f t="array" ref="K426">AVERAGE(ABS($I$3:I426))</f>
        <v>4.9834905660377355</v>
      </c>
      <c r="L426" s="15" cm="1">
        <f t="array" ref="L426">AVERAGE(ABS($J$3:J426))</f>
        <v>0.16132075471698115</v>
      </c>
      <c r="O426" s="13">
        <f t="shared" si="31"/>
        <v>0</v>
      </c>
      <c r="P426" s="14">
        <f t="shared" si="32"/>
        <v>0</v>
      </c>
    </row>
    <row r="427" spans="8:16" x14ac:dyDescent="0.25">
      <c r="H427" s="6" t="s">
        <v>27</v>
      </c>
      <c r="I427" s="13">
        <f t="shared" si="29"/>
        <v>0</v>
      </c>
      <c r="J427" s="14">
        <f t="shared" si="30"/>
        <v>0</v>
      </c>
      <c r="K427" s="15" cm="1">
        <f t="array" ref="K427">AVERAGE(ABS($I$3:I427))</f>
        <v>4.9717647058823529</v>
      </c>
      <c r="L427" s="15" cm="1">
        <f t="array" ref="L427">AVERAGE(ABS($J$3:J427))</f>
        <v>0.16094117647058825</v>
      </c>
      <c r="O427" s="13">
        <f t="shared" si="31"/>
        <v>0</v>
      </c>
      <c r="P427" s="14">
        <f t="shared" si="32"/>
        <v>0</v>
      </c>
    </row>
    <row r="428" spans="8:16" x14ac:dyDescent="0.25">
      <c r="H428" s="6" t="s">
        <v>27</v>
      </c>
      <c r="I428" s="13">
        <f t="shared" si="29"/>
        <v>0</v>
      </c>
      <c r="J428" s="14">
        <f t="shared" si="30"/>
        <v>0</v>
      </c>
      <c r="K428" s="15" cm="1">
        <f t="array" ref="K428">AVERAGE(ABS($I$3:I428))</f>
        <v>4.960093896713615</v>
      </c>
      <c r="L428" s="15" cm="1">
        <f t="array" ref="L428">AVERAGE(ABS($J$3:J428))</f>
        <v>0.16056338028169015</v>
      </c>
      <c r="O428" s="13">
        <f t="shared" si="31"/>
        <v>0</v>
      </c>
      <c r="P428" s="14">
        <f t="shared" si="32"/>
        <v>0</v>
      </c>
    </row>
    <row r="429" spans="8:16" x14ac:dyDescent="0.25">
      <c r="H429" s="6" t="s">
        <v>27</v>
      </c>
      <c r="I429" s="13">
        <f t="shared" si="29"/>
        <v>0</v>
      </c>
      <c r="J429" s="14">
        <f t="shared" si="30"/>
        <v>0</v>
      </c>
      <c r="K429" s="15" cm="1">
        <f t="array" ref="K429">AVERAGE(ABS($I$3:I429))</f>
        <v>4.9484777517564407</v>
      </c>
      <c r="L429" s="15" cm="1">
        <f t="array" ref="L429">AVERAGE(ABS($J$3:J429))</f>
        <v>0.1601873536299766</v>
      </c>
      <c r="O429" s="13">
        <f t="shared" si="31"/>
        <v>0</v>
      </c>
      <c r="P429" s="14">
        <f t="shared" si="32"/>
        <v>0</v>
      </c>
    </row>
    <row r="430" spans="8:16" x14ac:dyDescent="0.25">
      <c r="H430" s="6" t="s">
        <v>27</v>
      </c>
      <c r="I430" s="13">
        <f t="shared" si="29"/>
        <v>0</v>
      </c>
      <c r="J430" s="14">
        <f t="shared" si="30"/>
        <v>0</v>
      </c>
      <c r="K430" s="15" cm="1">
        <f t="array" ref="K430">AVERAGE(ABS($I$3:I430))</f>
        <v>4.9369158878504669</v>
      </c>
      <c r="L430" s="15" cm="1">
        <f t="array" ref="L430">AVERAGE(ABS($J$3:J430))</f>
        <v>0.15981308411214953</v>
      </c>
      <c r="O430" s="13">
        <f t="shared" si="31"/>
        <v>0</v>
      </c>
      <c r="P430" s="14">
        <f t="shared" si="32"/>
        <v>0</v>
      </c>
    </row>
    <row r="431" spans="8:16" x14ac:dyDescent="0.25">
      <c r="H431" s="6" t="s">
        <v>27</v>
      </c>
      <c r="I431" s="13">
        <f t="shared" si="29"/>
        <v>0</v>
      </c>
      <c r="J431" s="14">
        <f t="shared" si="30"/>
        <v>0</v>
      </c>
      <c r="K431" s="15" cm="1">
        <f t="array" ref="K431">AVERAGE(ABS($I$3:I431))</f>
        <v>4.9254079254079253</v>
      </c>
      <c r="L431" s="15" cm="1">
        <f t="array" ref="L431">AVERAGE(ABS($J$3:J431))</f>
        <v>0.15944055944055946</v>
      </c>
      <c r="O431" s="13">
        <f t="shared" si="31"/>
        <v>0</v>
      </c>
      <c r="P431" s="14">
        <f t="shared" si="32"/>
        <v>0</v>
      </c>
    </row>
    <row r="432" spans="8:16" x14ac:dyDescent="0.25">
      <c r="H432" s="6" t="s">
        <v>27</v>
      </c>
      <c r="I432" s="13">
        <f t="shared" si="29"/>
        <v>0</v>
      </c>
      <c r="J432" s="14">
        <f t="shared" si="30"/>
        <v>0</v>
      </c>
      <c r="K432" s="15" cm="1">
        <f t="array" ref="K432">AVERAGE(ABS($I$3:I432))</f>
        <v>4.9139534883720932</v>
      </c>
      <c r="L432" s="15" cm="1">
        <f t="array" ref="L432">AVERAGE(ABS($J$3:J432))</f>
        <v>0.15906976744186047</v>
      </c>
      <c r="O432" s="13">
        <f t="shared" si="31"/>
        <v>0</v>
      </c>
      <c r="P432" s="14">
        <f t="shared" si="32"/>
        <v>0</v>
      </c>
    </row>
    <row r="433" spans="8:16" x14ac:dyDescent="0.25">
      <c r="H433" s="6" t="s">
        <v>27</v>
      </c>
      <c r="I433" s="13">
        <f t="shared" si="29"/>
        <v>0</v>
      </c>
      <c r="J433" s="14">
        <f t="shared" si="30"/>
        <v>0</v>
      </c>
      <c r="K433" s="15" cm="1">
        <f t="array" ref="K433">AVERAGE(ABS($I$3:I433))</f>
        <v>4.9025522041763345</v>
      </c>
      <c r="L433" s="15" cm="1">
        <f t="array" ref="L433">AVERAGE(ABS($J$3:J433))</f>
        <v>0.15870069605568446</v>
      </c>
      <c r="O433" s="13">
        <f t="shared" si="31"/>
        <v>0</v>
      </c>
      <c r="P433" s="14">
        <f t="shared" si="32"/>
        <v>0</v>
      </c>
    </row>
    <row r="434" spans="8:16" x14ac:dyDescent="0.25">
      <c r="H434" s="6" t="s">
        <v>27</v>
      </c>
      <c r="I434" s="13">
        <f t="shared" si="29"/>
        <v>0</v>
      </c>
      <c r="J434" s="14">
        <f t="shared" si="30"/>
        <v>0</v>
      </c>
      <c r="K434" s="15" cm="1">
        <f t="array" ref="K434">AVERAGE(ABS($I$3:I434))</f>
        <v>4.8912037037037033</v>
      </c>
      <c r="L434" s="15" cm="1">
        <f t="array" ref="L434">AVERAGE(ABS($J$3:J434))</f>
        <v>0.15833333333333335</v>
      </c>
      <c r="O434" s="13">
        <f t="shared" si="31"/>
        <v>0</v>
      </c>
      <c r="P434" s="14">
        <f t="shared" si="32"/>
        <v>0</v>
      </c>
    </row>
    <row r="435" spans="8:16" x14ac:dyDescent="0.25">
      <c r="H435" s="6" t="s">
        <v>27</v>
      </c>
      <c r="I435" s="13">
        <f t="shared" si="29"/>
        <v>0</v>
      </c>
      <c r="J435" s="14">
        <f t="shared" si="30"/>
        <v>0</v>
      </c>
      <c r="K435" s="15" cm="1">
        <f t="array" ref="K435">AVERAGE(ABS($I$3:I435))</f>
        <v>4.8799076212471135</v>
      </c>
      <c r="L435" s="15" cm="1">
        <f t="array" ref="L435">AVERAGE(ABS($J$3:J435))</f>
        <v>0.15796766743648963</v>
      </c>
      <c r="O435" s="13">
        <f t="shared" si="31"/>
        <v>0</v>
      </c>
      <c r="P435" s="14">
        <f t="shared" si="32"/>
        <v>0</v>
      </c>
    </row>
    <row r="436" spans="8:16" x14ac:dyDescent="0.25">
      <c r="H436" s="6" t="s">
        <v>27</v>
      </c>
      <c r="I436" s="13">
        <f t="shared" si="29"/>
        <v>0</v>
      </c>
      <c r="J436" s="14">
        <f t="shared" si="30"/>
        <v>0</v>
      </c>
      <c r="K436" s="15" cm="1">
        <f t="array" ref="K436">AVERAGE(ABS($I$3:I436))</f>
        <v>4.8686635944700463</v>
      </c>
      <c r="L436" s="15" cm="1">
        <f t="array" ref="L436">AVERAGE(ABS($J$3:J436))</f>
        <v>0.15760368663594471</v>
      </c>
      <c r="O436" s="13">
        <f t="shared" si="31"/>
        <v>0</v>
      </c>
      <c r="P436" s="14">
        <f t="shared" si="32"/>
        <v>0</v>
      </c>
    </row>
    <row r="437" spans="8:16" x14ac:dyDescent="0.25">
      <c r="H437" s="6" t="s">
        <v>27</v>
      </c>
      <c r="I437" s="13">
        <f t="shared" si="29"/>
        <v>0</v>
      </c>
      <c r="J437" s="14">
        <f t="shared" si="30"/>
        <v>0</v>
      </c>
      <c r="K437" s="15" cm="1">
        <f t="array" ref="K437">AVERAGE(ABS($I$3:I437))</f>
        <v>4.857471264367816</v>
      </c>
      <c r="L437" s="15" cm="1">
        <f t="array" ref="L437">AVERAGE(ABS($J$3:J437))</f>
        <v>0.15724137931034485</v>
      </c>
      <c r="O437" s="13">
        <f t="shared" si="31"/>
        <v>0</v>
      </c>
      <c r="P437" s="14">
        <f t="shared" si="32"/>
        <v>0</v>
      </c>
    </row>
    <row r="438" spans="8:16" x14ac:dyDescent="0.25">
      <c r="H438" s="6" t="s">
        <v>27</v>
      </c>
      <c r="I438" s="13">
        <f t="shared" si="29"/>
        <v>0</v>
      </c>
      <c r="J438" s="14">
        <f t="shared" si="30"/>
        <v>0</v>
      </c>
      <c r="K438" s="15" cm="1">
        <f t="array" ref="K438">AVERAGE(ABS($I$3:I438))</f>
        <v>4.8463302752293576</v>
      </c>
      <c r="L438" s="15" cm="1">
        <f t="array" ref="L438">AVERAGE(ABS($J$3:J438))</f>
        <v>0.15688073394495414</v>
      </c>
      <c r="O438" s="13">
        <f t="shared" si="31"/>
        <v>0</v>
      </c>
      <c r="P438" s="14">
        <f t="shared" si="32"/>
        <v>0</v>
      </c>
    </row>
    <row r="439" spans="8:16" x14ac:dyDescent="0.25">
      <c r="H439" s="6" t="s">
        <v>27</v>
      </c>
      <c r="I439" s="13">
        <f t="shared" si="29"/>
        <v>0</v>
      </c>
      <c r="J439" s="14">
        <f t="shared" si="30"/>
        <v>0</v>
      </c>
      <c r="K439" s="15" cm="1">
        <f t="array" ref="K439">AVERAGE(ABS($I$3:I439))</f>
        <v>4.835240274599542</v>
      </c>
      <c r="L439" s="15" cm="1">
        <f t="array" ref="L439">AVERAGE(ABS($J$3:J439))</f>
        <v>0.15652173913043479</v>
      </c>
      <c r="O439" s="13">
        <f t="shared" si="31"/>
        <v>0</v>
      </c>
      <c r="P439" s="14">
        <f t="shared" si="32"/>
        <v>0</v>
      </c>
    </row>
    <row r="440" spans="8:16" x14ac:dyDescent="0.25">
      <c r="H440" s="6" t="s">
        <v>27</v>
      </c>
      <c r="I440" s="13">
        <f t="shared" si="29"/>
        <v>0</v>
      </c>
      <c r="J440" s="14">
        <f t="shared" si="30"/>
        <v>0</v>
      </c>
      <c r="K440" s="15" cm="1">
        <f t="array" ref="K440">AVERAGE(ABS($I$3:I440))</f>
        <v>4.8242009132420094</v>
      </c>
      <c r="L440" s="15" cm="1">
        <f t="array" ref="L440">AVERAGE(ABS($J$3:J440))</f>
        <v>0.15616438356164386</v>
      </c>
      <c r="O440" s="13">
        <f t="shared" si="31"/>
        <v>0</v>
      </c>
      <c r="P440" s="14">
        <f t="shared" si="32"/>
        <v>0</v>
      </c>
    </row>
    <row r="441" spans="8:16" x14ac:dyDescent="0.25">
      <c r="H441" s="6" t="s">
        <v>27</v>
      </c>
      <c r="I441" s="13">
        <f t="shared" si="29"/>
        <v>0</v>
      </c>
      <c r="J441" s="14">
        <f t="shared" si="30"/>
        <v>0</v>
      </c>
      <c r="K441" s="15" cm="1">
        <f t="array" ref="K441">AVERAGE(ABS($I$3:I441))</f>
        <v>4.8132118451025061</v>
      </c>
      <c r="L441" s="15" cm="1">
        <f t="array" ref="L441">AVERAGE(ABS($J$3:J441))</f>
        <v>0.15580865603644647</v>
      </c>
      <c r="O441" s="13">
        <f t="shared" si="31"/>
        <v>0</v>
      </c>
      <c r="P441" s="14">
        <f t="shared" si="32"/>
        <v>0</v>
      </c>
    </row>
    <row r="442" spans="8:16" x14ac:dyDescent="0.25">
      <c r="H442" s="6" t="s">
        <v>27</v>
      </c>
      <c r="I442" s="13">
        <f t="shared" si="29"/>
        <v>0</v>
      </c>
      <c r="J442" s="14">
        <f t="shared" si="30"/>
        <v>0</v>
      </c>
      <c r="K442" s="15" cm="1">
        <f t="array" ref="K442">AVERAGE(ABS($I$3:I442))</f>
        <v>4.8022727272727277</v>
      </c>
      <c r="L442" s="15" cm="1">
        <f t="array" ref="L442">AVERAGE(ABS($J$3:J442))</f>
        <v>0.15545454545454546</v>
      </c>
      <c r="O442" s="13">
        <f t="shared" si="31"/>
        <v>0</v>
      </c>
      <c r="P442" s="14">
        <f t="shared" si="32"/>
        <v>0</v>
      </c>
    </row>
    <row r="443" spans="8:16" x14ac:dyDescent="0.25">
      <c r="H443" s="6" t="s">
        <v>27</v>
      </c>
      <c r="I443" s="13">
        <f t="shared" si="29"/>
        <v>0</v>
      </c>
      <c r="J443" s="14">
        <f t="shared" si="30"/>
        <v>0</v>
      </c>
      <c r="K443" s="15" cm="1">
        <f t="array" ref="K443">AVERAGE(ABS($I$3:I443))</f>
        <v>4.7913832199546489</v>
      </c>
      <c r="L443" s="15" cm="1">
        <f t="array" ref="L443">AVERAGE(ABS($J$3:J443))</f>
        <v>0.15510204081632653</v>
      </c>
      <c r="O443" s="13">
        <f t="shared" si="31"/>
        <v>0</v>
      </c>
      <c r="P443" s="14">
        <f t="shared" si="32"/>
        <v>0</v>
      </c>
    </row>
    <row r="444" spans="8:16" x14ac:dyDescent="0.25">
      <c r="H444" s="6" t="s">
        <v>27</v>
      </c>
      <c r="I444" s="13">
        <f t="shared" si="29"/>
        <v>0</v>
      </c>
      <c r="J444" s="14">
        <f t="shared" si="30"/>
        <v>0</v>
      </c>
      <c r="K444" s="15" cm="1">
        <f t="array" ref="K444">AVERAGE(ABS($I$3:I444))</f>
        <v>4.7805429864253393</v>
      </c>
      <c r="L444" s="15" cm="1">
        <f t="array" ref="L444">AVERAGE(ABS($J$3:J444))</f>
        <v>0.15475113122171946</v>
      </c>
      <c r="O444" s="13">
        <f t="shared" si="31"/>
        <v>0</v>
      </c>
      <c r="P444" s="14">
        <f t="shared" si="32"/>
        <v>0</v>
      </c>
    </row>
    <row r="445" spans="8:16" x14ac:dyDescent="0.25">
      <c r="H445" s="6" t="s">
        <v>27</v>
      </c>
      <c r="I445" s="13">
        <f t="shared" si="29"/>
        <v>0</v>
      </c>
      <c r="J445" s="14">
        <f t="shared" si="30"/>
        <v>0</v>
      </c>
      <c r="K445" s="15" cm="1">
        <f t="array" ref="K445">AVERAGE(ABS($I$3:I445))</f>
        <v>4.7697516930022577</v>
      </c>
      <c r="L445" s="15" cm="1">
        <f t="array" ref="L445">AVERAGE(ABS($J$3:J445))</f>
        <v>0.15440180586907451</v>
      </c>
      <c r="O445" s="13">
        <f t="shared" si="31"/>
        <v>0</v>
      </c>
      <c r="P445" s="14">
        <f t="shared" si="32"/>
        <v>0</v>
      </c>
    </row>
    <row r="446" spans="8:16" x14ac:dyDescent="0.25">
      <c r="H446" s="6" t="s">
        <v>27</v>
      </c>
      <c r="I446" s="13">
        <f t="shared" si="29"/>
        <v>0</v>
      </c>
      <c r="J446" s="14">
        <f t="shared" si="30"/>
        <v>0</v>
      </c>
      <c r="K446" s="15" cm="1">
        <f t="array" ref="K446">AVERAGE(ABS($I$3:I446))</f>
        <v>4.7590090090090094</v>
      </c>
      <c r="L446" s="15" cm="1">
        <f t="array" ref="L446">AVERAGE(ABS($J$3:J446))</f>
        <v>0.15405405405405406</v>
      </c>
      <c r="O446" s="13">
        <f t="shared" si="31"/>
        <v>0</v>
      </c>
      <c r="P446" s="14">
        <f t="shared" si="32"/>
        <v>0</v>
      </c>
    </row>
    <row r="447" spans="8:16" x14ac:dyDescent="0.25">
      <c r="H447" s="6" t="s">
        <v>27</v>
      </c>
      <c r="I447" s="13">
        <f t="shared" si="29"/>
        <v>0</v>
      </c>
      <c r="J447" s="14">
        <f t="shared" si="30"/>
        <v>0</v>
      </c>
      <c r="K447" s="15" cm="1">
        <f t="array" ref="K447">AVERAGE(ABS($I$3:I447))</f>
        <v>4.7483146067415731</v>
      </c>
      <c r="L447" s="15" cm="1">
        <f t="array" ref="L447">AVERAGE(ABS($J$3:J447))</f>
        <v>0.15370786516853935</v>
      </c>
      <c r="O447" s="13">
        <f t="shared" si="31"/>
        <v>0</v>
      </c>
      <c r="P447" s="14">
        <f t="shared" si="32"/>
        <v>0</v>
      </c>
    </row>
    <row r="448" spans="8:16" x14ac:dyDescent="0.25">
      <c r="H448" s="6" t="s">
        <v>27</v>
      </c>
      <c r="I448" s="13">
        <f t="shared" si="29"/>
        <v>0</v>
      </c>
      <c r="J448" s="14">
        <f t="shared" si="30"/>
        <v>0</v>
      </c>
      <c r="K448" s="15" cm="1">
        <f t="array" ref="K448">AVERAGE(ABS($I$3:I448))</f>
        <v>4.7376681614349776</v>
      </c>
      <c r="L448" s="15" cm="1">
        <f t="array" ref="L448">AVERAGE(ABS($J$3:J448))</f>
        <v>0.15336322869955157</v>
      </c>
      <c r="O448" s="13">
        <f t="shared" si="31"/>
        <v>0</v>
      </c>
      <c r="P448" s="14">
        <f t="shared" si="32"/>
        <v>0</v>
      </c>
    </row>
    <row r="449" spans="8:16" x14ac:dyDescent="0.25">
      <c r="H449" s="6" t="s">
        <v>27</v>
      </c>
      <c r="I449" s="13">
        <f t="shared" si="29"/>
        <v>0</v>
      </c>
      <c r="J449" s="14">
        <f t="shared" si="30"/>
        <v>0</v>
      </c>
      <c r="K449" s="15" cm="1">
        <f t="array" ref="K449">AVERAGE(ABS($I$3:I449))</f>
        <v>4.7270693512304254</v>
      </c>
      <c r="L449" s="15" cm="1">
        <f t="array" ref="L449">AVERAGE(ABS($J$3:J449))</f>
        <v>0.15302013422818794</v>
      </c>
      <c r="O449" s="13">
        <f t="shared" si="31"/>
        <v>0</v>
      </c>
      <c r="P449" s="14">
        <f t="shared" si="32"/>
        <v>0</v>
      </c>
    </row>
    <row r="450" spans="8:16" x14ac:dyDescent="0.25">
      <c r="H450" s="6" t="s">
        <v>27</v>
      </c>
      <c r="I450" s="13">
        <f t="shared" si="29"/>
        <v>0</v>
      </c>
      <c r="J450" s="14">
        <f t="shared" si="30"/>
        <v>0</v>
      </c>
      <c r="K450" s="15" cm="1">
        <f t="array" ref="K450">AVERAGE(ABS($I$3:I450))</f>
        <v>4.7165178571428568</v>
      </c>
      <c r="L450" s="15" cm="1">
        <f t="array" ref="L450">AVERAGE(ABS($J$3:J450))</f>
        <v>0.15267857142857144</v>
      </c>
      <c r="O450" s="13">
        <f t="shared" si="31"/>
        <v>0</v>
      </c>
      <c r="P450" s="14">
        <f t="shared" si="32"/>
        <v>0</v>
      </c>
    </row>
    <row r="451" spans="8:16" x14ac:dyDescent="0.25">
      <c r="H451" s="6" t="s">
        <v>27</v>
      </c>
      <c r="I451" s="13">
        <f t="shared" si="29"/>
        <v>0</v>
      </c>
      <c r="J451" s="14">
        <f t="shared" si="30"/>
        <v>0</v>
      </c>
      <c r="K451" s="15" cm="1">
        <f t="array" ref="K451">AVERAGE(ABS($I$3:I451))</f>
        <v>4.7060133630289531</v>
      </c>
      <c r="L451" s="15" cm="1">
        <f t="array" ref="L451">AVERAGE(ABS($J$3:J451))</f>
        <v>0.15233853006681516</v>
      </c>
      <c r="O451" s="13">
        <f t="shared" si="31"/>
        <v>0</v>
      </c>
      <c r="P451" s="14">
        <f t="shared" si="32"/>
        <v>0</v>
      </c>
    </row>
    <row r="452" spans="8:16" x14ac:dyDescent="0.25">
      <c r="H452" s="6" t="s">
        <v>27</v>
      </c>
      <c r="I452" s="13">
        <f t="shared" ref="I452:I515" si="33">(E452-D452)</f>
        <v>0</v>
      </c>
      <c r="J452" s="14">
        <f t="shared" ref="J452:J515" si="34">(G452-F452)</f>
        <v>0</v>
      </c>
      <c r="K452" s="15" cm="1">
        <f t="array" ref="K452">AVERAGE(ABS($I$3:I452))</f>
        <v>4.6955555555555559</v>
      </c>
      <c r="L452" s="15" cm="1">
        <f t="array" ref="L452">AVERAGE(ABS($J$3:J452))</f>
        <v>0.15200000000000002</v>
      </c>
      <c r="O452" s="13">
        <f t="shared" ref="O452:O515" si="35">(M452-D452)</f>
        <v>0</v>
      </c>
      <c r="P452" s="14">
        <f t="shared" ref="P452:P515" si="36">(N452-F452)</f>
        <v>0</v>
      </c>
    </row>
    <row r="453" spans="8:16" x14ac:dyDescent="0.25">
      <c r="H453" s="6" t="s">
        <v>27</v>
      </c>
      <c r="I453" s="13">
        <f t="shared" si="33"/>
        <v>0</v>
      </c>
      <c r="J453" s="14">
        <f t="shared" si="34"/>
        <v>0</v>
      </c>
      <c r="K453" s="15" cm="1">
        <f t="array" ref="K453">AVERAGE(ABS($I$3:I453))</f>
        <v>4.6851441241685148</v>
      </c>
      <c r="L453" s="15" cm="1">
        <f t="array" ref="L453">AVERAGE(ABS($J$3:J453))</f>
        <v>0.15166297117516631</v>
      </c>
      <c r="O453" s="13">
        <f t="shared" si="35"/>
        <v>0</v>
      </c>
      <c r="P453" s="14">
        <f t="shared" si="36"/>
        <v>0</v>
      </c>
    </row>
    <row r="454" spans="8:16" x14ac:dyDescent="0.25">
      <c r="H454" s="6" t="s">
        <v>27</v>
      </c>
      <c r="I454" s="13">
        <f t="shared" si="33"/>
        <v>0</v>
      </c>
      <c r="J454" s="14">
        <f t="shared" si="34"/>
        <v>0</v>
      </c>
      <c r="K454" s="15" cm="1">
        <f t="array" ref="K454">AVERAGE(ABS($I$3:I454))</f>
        <v>4.6747787610619467</v>
      </c>
      <c r="L454" s="15" cm="1">
        <f t="array" ref="L454">AVERAGE(ABS($J$3:J454))</f>
        <v>0.1513274336283186</v>
      </c>
      <c r="O454" s="13">
        <f t="shared" si="35"/>
        <v>0</v>
      </c>
      <c r="P454" s="14">
        <f t="shared" si="36"/>
        <v>0</v>
      </c>
    </row>
    <row r="455" spans="8:16" x14ac:dyDescent="0.25">
      <c r="H455" s="6" t="s">
        <v>27</v>
      </c>
      <c r="I455" s="13">
        <f t="shared" si="33"/>
        <v>0</v>
      </c>
      <c r="J455" s="14">
        <f t="shared" si="34"/>
        <v>0</v>
      </c>
      <c r="K455" s="15" cm="1">
        <f t="array" ref="K455">AVERAGE(ABS($I$3:I455))</f>
        <v>4.6644591611479029</v>
      </c>
      <c r="L455" s="15" cm="1">
        <f t="array" ref="L455">AVERAGE(ABS($J$3:J455))</f>
        <v>0.15099337748344371</v>
      </c>
      <c r="O455" s="13">
        <f t="shared" si="35"/>
        <v>0</v>
      </c>
      <c r="P455" s="14">
        <f t="shared" si="36"/>
        <v>0</v>
      </c>
    </row>
    <row r="456" spans="8:16" x14ac:dyDescent="0.25">
      <c r="H456" s="6" t="s">
        <v>27</v>
      </c>
      <c r="I456" s="13">
        <f t="shared" si="33"/>
        <v>0</v>
      </c>
      <c r="J456" s="14">
        <f t="shared" si="34"/>
        <v>0</v>
      </c>
      <c r="K456" s="15" cm="1">
        <f t="array" ref="K456">AVERAGE(ABS($I$3:I456))</f>
        <v>4.6541850220264314</v>
      </c>
      <c r="L456" s="15" cm="1">
        <f t="array" ref="L456">AVERAGE(ABS($J$3:J456))</f>
        <v>0.15066079295154186</v>
      </c>
      <c r="O456" s="13">
        <f t="shared" si="35"/>
        <v>0</v>
      </c>
      <c r="P456" s="14">
        <f t="shared" si="36"/>
        <v>0</v>
      </c>
    </row>
    <row r="457" spans="8:16" x14ac:dyDescent="0.25">
      <c r="H457" s="6" t="s">
        <v>27</v>
      </c>
      <c r="I457" s="13">
        <f t="shared" si="33"/>
        <v>0</v>
      </c>
      <c r="J457" s="14">
        <f t="shared" si="34"/>
        <v>0</v>
      </c>
      <c r="K457" s="15" cm="1">
        <f t="array" ref="K457">AVERAGE(ABS($I$3:I457))</f>
        <v>4.6439560439560443</v>
      </c>
      <c r="L457" s="15" cm="1">
        <f t="array" ref="L457">AVERAGE(ABS($J$3:J457))</f>
        <v>0.15032967032967035</v>
      </c>
      <c r="O457" s="13">
        <f t="shared" si="35"/>
        <v>0</v>
      </c>
      <c r="P457" s="14">
        <f t="shared" si="36"/>
        <v>0</v>
      </c>
    </row>
    <row r="458" spans="8:16" x14ac:dyDescent="0.25">
      <c r="H458" s="6" t="s">
        <v>27</v>
      </c>
      <c r="I458" s="13">
        <f t="shared" si="33"/>
        <v>0</v>
      </c>
      <c r="J458" s="14">
        <f t="shared" si="34"/>
        <v>0</v>
      </c>
      <c r="K458" s="15" cm="1">
        <f t="array" ref="K458">AVERAGE(ABS($I$3:I458))</f>
        <v>4.6337719298245617</v>
      </c>
      <c r="L458" s="15" cm="1">
        <f t="array" ref="L458">AVERAGE(ABS($J$3:J458))</f>
        <v>0.15000000000000002</v>
      </c>
      <c r="O458" s="13">
        <f t="shared" si="35"/>
        <v>0</v>
      </c>
      <c r="P458" s="14">
        <f t="shared" si="36"/>
        <v>0</v>
      </c>
    </row>
    <row r="459" spans="8:16" x14ac:dyDescent="0.25">
      <c r="H459" s="6" t="s">
        <v>27</v>
      </c>
      <c r="I459" s="13">
        <f t="shared" si="33"/>
        <v>0</v>
      </c>
      <c r="J459" s="14">
        <f t="shared" si="34"/>
        <v>0</v>
      </c>
      <c r="K459" s="15" cm="1">
        <f t="array" ref="K459">AVERAGE(ABS($I$3:I459))</f>
        <v>4.6236323851203505</v>
      </c>
      <c r="L459" s="15" cm="1">
        <f t="array" ref="L459">AVERAGE(ABS($J$3:J459))</f>
        <v>0.14967177242888405</v>
      </c>
      <c r="O459" s="13">
        <f t="shared" si="35"/>
        <v>0</v>
      </c>
      <c r="P459" s="14">
        <f t="shared" si="36"/>
        <v>0</v>
      </c>
    </row>
    <row r="460" spans="8:16" x14ac:dyDescent="0.25">
      <c r="H460" s="6" t="s">
        <v>27</v>
      </c>
      <c r="I460" s="13">
        <f t="shared" si="33"/>
        <v>0</v>
      </c>
      <c r="J460" s="14">
        <f t="shared" si="34"/>
        <v>0</v>
      </c>
      <c r="K460" s="15" cm="1">
        <f t="array" ref="K460">AVERAGE(ABS($I$3:I460))</f>
        <v>4.6135371179039302</v>
      </c>
      <c r="L460" s="15" cm="1">
        <f t="array" ref="L460">AVERAGE(ABS($J$3:J460))</f>
        <v>0.14934497816593889</v>
      </c>
      <c r="O460" s="13">
        <f t="shared" si="35"/>
        <v>0</v>
      </c>
      <c r="P460" s="14">
        <f t="shared" si="36"/>
        <v>0</v>
      </c>
    </row>
    <row r="461" spans="8:16" x14ac:dyDescent="0.25">
      <c r="H461" s="6" t="s">
        <v>27</v>
      </c>
      <c r="I461" s="13">
        <f t="shared" si="33"/>
        <v>0</v>
      </c>
      <c r="J461" s="14">
        <f t="shared" si="34"/>
        <v>0</v>
      </c>
      <c r="K461" s="15" cm="1">
        <f t="array" ref="K461">AVERAGE(ABS($I$3:I461))</f>
        <v>4.6034858387799567</v>
      </c>
      <c r="L461" s="15" cm="1">
        <f t="array" ref="L461">AVERAGE(ABS($J$3:J461))</f>
        <v>0.14901960784313728</v>
      </c>
      <c r="O461" s="13">
        <f t="shared" si="35"/>
        <v>0</v>
      </c>
      <c r="P461" s="14">
        <f t="shared" si="36"/>
        <v>0</v>
      </c>
    </row>
    <row r="462" spans="8:16" x14ac:dyDescent="0.25">
      <c r="H462" s="6" t="s">
        <v>27</v>
      </c>
      <c r="I462" s="13">
        <f t="shared" si="33"/>
        <v>0</v>
      </c>
      <c r="J462" s="14">
        <f t="shared" si="34"/>
        <v>0</v>
      </c>
      <c r="K462" s="15" cm="1">
        <f t="array" ref="K462">AVERAGE(ABS($I$3:I462))</f>
        <v>4.5934782608695652</v>
      </c>
      <c r="L462" s="15" cm="1">
        <f t="array" ref="L462">AVERAGE(ABS($J$3:J462))</f>
        <v>0.14869565217391306</v>
      </c>
      <c r="O462" s="13">
        <f t="shared" si="35"/>
        <v>0</v>
      </c>
      <c r="P462" s="14">
        <f t="shared" si="36"/>
        <v>0</v>
      </c>
    </row>
    <row r="463" spans="8:16" x14ac:dyDescent="0.25">
      <c r="H463" s="6" t="s">
        <v>27</v>
      </c>
      <c r="I463" s="13">
        <f t="shared" si="33"/>
        <v>0</v>
      </c>
      <c r="J463" s="14">
        <f t="shared" si="34"/>
        <v>0</v>
      </c>
      <c r="K463" s="15" cm="1">
        <f t="array" ref="K463">AVERAGE(ABS($I$3:I463))</f>
        <v>4.5835140997830806</v>
      </c>
      <c r="L463" s="15" cm="1">
        <f t="array" ref="L463">AVERAGE(ABS($J$3:J463))</f>
        <v>0.14837310195227768</v>
      </c>
      <c r="O463" s="13">
        <f t="shared" si="35"/>
        <v>0</v>
      </c>
      <c r="P463" s="14">
        <f t="shared" si="36"/>
        <v>0</v>
      </c>
    </row>
    <row r="464" spans="8:16" x14ac:dyDescent="0.25">
      <c r="H464" s="6" t="s">
        <v>27</v>
      </c>
      <c r="I464" s="13">
        <f t="shared" si="33"/>
        <v>0</v>
      </c>
      <c r="J464" s="14">
        <f t="shared" si="34"/>
        <v>0</v>
      </c>
      <c r="K464" s="15" cm="1">
        <f t="array" ref="K464">AVERAGE(ABS($I$3:I464))</f>
        <v>4.5735930735930737</v>
      </c>
      <c r="L464" s="15" cm="1">
        <f t="array" ref="L464">AVERAGE(ABS($J$3:J464))</f>
        <v>0.14805194805194807</v>
      </c>
      <c r="O464" s="13">
        <f t="shared" si="35"/>
        <v>0</v>
      </c>
      <c r="P464" s="14">
        <f t="shared" si="36"/>
        <v>0</v>
      </c>
    </row>
    <row r="465" spans="8:16" x14ac:dyDescent="0.25">
      <c r="H465" s="6" t="s">
        <v>27</v>
      </c>
      <c r="I465" s="13">
        <f t="shared" si="33"/>
        <v>0</v>
      </c>
      <c r="J465" s="14">
        <f t="shared" si="34"/>
        <v>0</v>
      </c>
      <c r="K465" s="15" cm="1">
        <f t="array" ref="K465">AVERAGE(ABS($I$3:I465))</f>
        <v>4.5637149028077753</v>
      </c>
      <c r="L465" s="15" cm="1">
        <f t="array" ref="L465">AVERAGE(ABS($J$3:J465))</f>
        <v>0.14773218142548597</v>
      </c>
      <c r="O465" s="13">
        <f t="shared" si="35"/>
        <v>0</v>
      </c>
      <c r="P465" s="14">
        <f t="shared" si="36"/>
        <v>0</v>
      </c>
    </row>
    <row r="466" spans="8:16" x14ac:dyDescent="0.25">
      <c r="H466" s="6" t="s">
        <v>27</v>
      </c>
      <c r="I466" s="13">
        <f t="shared" si="33"/>
        <v>0</v>
      </c>
      <c r="J466" s="14">
        <f t="shared" si="34"/>
        <v>0</v>
      </c>
      <c r="K466" s="15" cm="1">
        <f t="array" ref="K466">AVERAGE(ABS($I$3:I466))</f>
        <v>4.5538793103448274</v>
      </c>
      <c r="L466" s="15" cm="1">
        <f t="array" ref="L466">AVERAGE(ABS($J$3:J466))</f>
        <v>0.14741379310344829</v>
      </c>
      <c r="O466" s="13">
        <f t="shared" si="35"/>
        <v>0</v>
      </c>
      <c r="P466" s="14">
        <f t="shared" si="36"/>
        <v>0</v>
      </c>
    </row>
    <row r="467" spans="8:16" x14ac:dyDescent="0.25">
      <c r="H467" s="6" t="s">
        <v>27</v>
      </c>
      <c r="I467" s="13">
        <f t="shared" si="33"/>
        <v>0</v>
      </c>
      <c r="J467" s="14">
        <f t="shared" si="34"/>
        <v>0</v>
      </c>
      <c r="K467" s="15" cm="1">
        <f t="array" ref="K467">AVERAGE(ABS($I$3:I467))</f>
        <v>4.5440860215053762</v>
      </c>
      <c r="L467" s="15" cm="1">
        <f t="array" ref="L467">AVERAGE(ABS($J$3:J467))</f>
        <v>0.14709677419354841</v>
      </c>
      <c r="O467" s="13">
        <f t="shared" si="35"/>
        <v>0</v>
      </c>
      <c r="P467" s="14">
        <f t="shared" si="36"/>
        <v>0</v>
      </c>
    </row>
    <row r="468" spans="8:16" x14ac:dyDescent="0.25">
      <c r="H468" s="6" t="s">
        <v>27</v>
      </c>
      <c r="I468" s="13">
        <f t="shared" si="33"/>
        <v>0</v>
      </c>
      <c r="J468" s="14">
        <f t="shared" si="34"/>
        <v>0</v>
      </c>
      <c r="K468" s="15" cm="1">
        <f t="array" ref="K468">AVERAGE(ABS($I$3:I468))</f>
        <v>4.5343347639484977</v>
      </c>
      <c r="L468" s="15" cm="1">
        <f t="array" ref="L468">AVERAGE(ABS($J$3:J468))</f>
        <v>0.14678111587982834</v>
      </c>
      <c r="O468" s="13">
        <f t="shared" si="35"/>
        <v>0</v>
      </c>
      <c r="P468" s="14">
        <f t="shared" si="36"/>
        <v>0</v>
      </c>
    </row>
    <row r="469" spans="8:16" x14ac:dyDescent="0.25">
      <c r="H469" s="6" t="s">
        <v>27</v>
      </c>
      <c r="I469" s="13">
        <f t="shared" si="33"/>
        <v>0</v>
      </c>
      <c r="J469" s="14">
        <f t="shared" si="34"/>
        <v>0</v>
      </c>
      <c r="K469" s="15" cm="1">
        <f t="array" ref="K469">AVERAGE(ABS($I$3:I469))</f>
        <v>4.5246252676659529</v>
      </c>
      <c r="L469" s="15" cm="1">
        <f t="array" ref="L469">AVERAGE(ABS($J$3:J469))</f>
        <v>0.14646680942184157</v>
      </c>
      <c r="O469" s="13">
        <f t="shared" si="35"/>
        <v>0</v>
      </c>
      <c r="P469" s="14">
        <f t="shared" si="36"/>
        <v>0</v>
      </c>
    </row>
    <row r="470" spans="8:16" x14ac:dyDescent="0.25">
      <c r="H470" s="6" t="s">
        <v>27</v>
      </c>
      <c r="I470" s="13">
        <f t="shared" si="33"/>
        <v>0</v>
      </c>
      <c r="J470" s="14">
        <f t="shared" si="34"/>
        <v>0</v>
      </c>
      <c r="K470" s="15" cm="1">
        <f t="array" ref="K470">AVERAGE(ABS($I$3:I470))</f>
        <v>4.5149572649572649</v>
      </c>
      <c r="L470" s="15" cm="1">
        <f t="array" ref="L470">AVERAGE(ABS($J$3:J470))</f>
        <v>0.14615384615384616</v>
      </c>
      <c r="O470" s="13">
        <f t="shared" si="35"/>
        <v>0</v>
      </c>
      <c r="P470" s="14">
        <f t="shared" si="36"/>
        <v>0</v>
      </c>
    </row>
    <row r="471" spans="8:16" x14ac:dyDescent="0.25">
      <c r="H471" s="6" t="s">
        <v>27</v>
      </c>
      <c r="I471" s="13">
        <f t="shared" si="33"/>
        <v>0</v>
      </c>
      <c r="J471" s="14">
        <f t="shared" si="34"/>
        <v>0</v>
      </c>
      <c r="K471" s="15" cm="1">
        <f t="array" ref="K471">AVERAGE(ABS($I$3:I471))</f>
        <v>4.5053304904051172</v>
      </c>
      <c r="L471" s="15" cm="1">
        <f t="array" ref="L471">AVERAGE(ABS($J$3:J471))</f>
        <v>0.14584221748400855</v>
      </c>
      <c r="O471" s="13">
        <f t="shared" si="35"/>
        <v>0</v>
      </c>
      <c r="P471" s="14">
        <f t="shared" si="36"/>
        <v>0</v>
      </c>
    </row>
    <row r="472" spans="8:16" x14ac:dyDescent="0.25">
      <c r="H472" s="6" t="s">
        <v>27</v>
      </c>
      <c r="I472" s="13">
        <f t="shared" si="33"/>
        <v>0</v>
      </c>
      <c r="J472" s="14">
        <f t="shared" si="34"/>
        <v>0</v>
      </c>
      <c r="K472" s="15" cm="1">
        <f t="array" ref="K472">AVERAGE(ABS($I$3:I472))</f>
        <v>4.4957446808510637</v>
      </c>
      <c r="L472" s="15" cm="1">
        <f t="array" ref="L472">AVERAGE(ABS($J$3:J472))</f>
        <v>0.14553191489361703</v>
      </c>
      <c r="O472" s="13">
        <f t="shared" si="35"/>
        <v>0</v>
      </c>
      <c r="P472" s="14">
        <f t="shared" si="36"/>
        <v>0</v>
      </c>
    </row>
    <row r="473" spans="8:16" x14ac:dyDescent="0.25">
      <c r="H473" s="6" t="s">
        <v>27</v>
      </c>
      <c r="I473" s="13">
        <f t="shared" si="33"/>
        <v>0</v>
      </c>
      <c r="J473" s="14">
        <f t="shared" si="34"/>
        <v>0</v>
      </c>
      <c r="K473" s="15" cm="1">
        <f t="array" ref="K473">AVERAGE(ABS($I$3:I473))</f>
        <v>4.4861995753715496</v>
      </c>
      <c r="L473" s="15" cm="1">
        <f t="array" ref="L473">AVERAGE(ABS($J$3:J473))</f>
        <v>0.14522292993630576</v>
      </c>
      <c r="O473" s="13">
        <f t="shared" si="35"/>
        <v>0</v>
      </c>
      <c r="P473" s="14">
        <f t="shared" si="36"/>
        <v>0</v>
      </c>
    </row>
    <row r="474" spans="8:16" x14ac:dyDescent="0.25">
      <c r="H474" s="6" t="s">
        <v>27</v>
      </c>
      <c r="I474" s="13">
        <f t="shared" si="33"/>
        <v>0</v>
      </c>
      <c r="J474" s="14">
        <f t="shared" si="34"/>
        <v>0</v>
      </c>
      <c r="K474" s="15" cm="1">
        <f t="array" ref="K474">AVERAGE(ABS($I$3:I474))</f>
        <v>4.476694915254237</v>
      </c>
      <c r="L474" s="15" cm="1">
        <f t="array" ref="L474">AVERAGE(ABS($J$3:J474))</f>
        <v>0.14491525423728815</v>
      </c>
      <c r="O474" s="13">
        <f t="shared" si="35"/>
        <v>0</v>
      </c>
      <c r="P474" s="14">
        <f t="shared" si="36"/>
        <v>0</v>
      </c>
    </row>
    <row r="475" spans="8:16" x14ac:dyDescent="0.25">
      <c r="H475" s="6" t="s">
        <v>27</v>
      </c>
      <c r="I475" s="13">
        <f t="shared" si="33"/>
        <v>0</v>
      </c>
      <c r="J475" s="14">
        <f t="shared" si="34"/>
        <v>0</v>
      </c>
      <c r="K475" s="15" cm="1">
        <f t="array" ref="K475">AVERAGE(ABS($I$3:I475))</f>
        <v>4.4672304439746302</v>
      </c>
      <c r="L475" s="15" cm="1">
        <f t="array" ref="L475">AVERAGE(ABS($J$3:J475))</f>
        <v>0.14460887949260043</v>
      </c>
      <c r="O475" s="13">
        <f t="shared" si="35"/>
        <v>0</v>
      </c>
      <c r="P475" s="14">
        <f t="shared" si="36"/>
        <v>0</v>
      </c>
    </row>
    <row r="476" spans="8:16" x14ac:dyDescent="0.25">
      <c r="H476" s="6" t="s">
        <v>27</v>
      </c>
      <c r="I476" s="13">
        <f t="shared" si="33"/>
        <v>0</v>
      </c>
      <c r="J476" s="14">
        <f t="shared" si="34"/>
        <v>0</v>
      </c>
      <c r="K476" s="15" cm="1">
        <f t="array" ref="K476">AVERAGE(ABS($I$3:I476))</f>
        <v>4.4578059071729959</v>
      </c>
      <c r="L476" s="15" cm="1">
        <f t="array" ref="L476">AVERAGE(ABS($J$3:J476))</f>
        <v>0.14430379746835445</v>
      </c>
      <c r="O476" s="13">
        <f t="shared" si="35"/>
        <v>0</v>
      </c>
      <c r="P476" s="14">
        <f t="shared" si="36"/>
        <v>0</v>
      </c>
    </row>
    <row r="477" spans="8:16" x14ac:dyDescent="0.25">
      <c r="H477" s="6" t="s">
        <v>27</v>
      </c>
      <c r="I477" s="13">
        <f t="shared" si="33"/>
        <v>0</v>
      </c>
      <c r="J477" s="14">
        <f t="shared" si="34"/>
        <v>0</v>
      </c>
      <c r="K477" s="15" cm="1">
        <f t="array" ref="K477">AVERAGE(ABS($I$3:I477))</f>
        <v>4.4484210526315788</v>
      </c>
      <c r="L477" s="15" cm="1">
        <f t="array" ref="L477">AVERAGE(ABS($J$3:J477))</f>
        <v>0.14400000000000002</v>
      </c>
      <c r="O477" s="13">
        <f t="shared" si="35"/>
        <v>0</v>
      </c>
      <c r="P477" s="14">
        <f t="shared" si="36"/>
        <v>0</v>
      </c>
    </row>
    <row r="478" spans="8:16" x14ac:dyDescent="0.25">
      <c r="H478" s="6" t="s">
        <v>27</v>
      </c>
      <c r="I478" s="13">
        <f t="shared" si="33"/>
        <v>0</v>
      </c>
      <c r="J478" s="14">
        <f t="shared" si="34"/>
        <v>0</v>
      </c>
      <c r="K478" s="15" cm="1">
        <f t="array" ref="K478">AVERAGE(ABS($I$3:I478))</f>
        <v>4.4390756302521011</v>
      </c>
      <c r="L478" s="15" cm="1">
        <f t="array" ref="L478">AVERAGE(ABS($J$3:J478))</f>
        <v>0.14369747899159666</v>
      </c>
      <c r="O478" s="13">
        <f t="shared" si="35"/>
        <v>0</v>
      </c>
      <c r="P478" s="14">
        <f t="shared" si="36"/>
        <v>0</v>
      </c>
    </row>
    <row r="479" spans="8:16" x14ac:dyDescent="0.25">
      <c r="H479" s="6" t="s">
        <v>27</v>
      </c>
      <c r="I479" s="13">
        <f t="shared" si="33"/>
        <v>0</v>
      </c>
      <c r="J479" s="14">
        <f t="shared" si="34"/>
        <v>0</v>
      </c>
      <c r="K479" s="15" cm="1">
        <f t="array" ref="K479">AVERAGE(ABS($I$3:I479))</f>
        <v>4.4297693920335428</v>
      </c>
      <c r="L479" s="15" cm="1">
        <f t="array" ref="L479">AVERAGE(ABS($J$3:J479))</f>
        <v>0.14339622641509436</v>
      </c>
      <c r="O479" s="13">
        <f t="shared" si="35"/>
        <v>0</v>
      </c>
      <c r="P479" s="14">
        <f t="shared" si="36"/>
        <v>0</v>
      </c>
    </row>
    <row r="480" spans="8:16" x14ac:dyDescent="0.25">
      <c r="H480" s="6" t="s">
        <v>27</v>
      </c>
      <c r="I480" s="13">
        <f t="shared" si="33"/>
        <v>0</v>
      </c>
      <c r="J480" s="14">
        <f t="shared" si="34"/>
        <v>0</v>
      </c>
      <c r="K480" s="15" cm="1">
        <f t="array" ref="K480">AVERAGE(ABS($I$3:I480))</f>
        <v>4.4205020920502092</v>
      </c>
      <c r="L480" s="15" cm="1">
        <f t="array" ref="L480">AVERAGE(ABS($J$3:J480))</f>
        <v>0.14309623430962345</v>
      </c>
      <c r="O480" s="13">
        <f t="shared" si="35"/>
        <v>0</v>
      </c>
      <c r="P480" s="14">
        <f t="shared" si="36"/>
        <v>0</v>
      </c>
    </row>
    <row r="481" spans="8:16" x14ac:dyDescent="0.25">
      <c r="H481" s="6" t="s">
        <v>27</v>
      </c>
      <c r="I481" s="13">
        <f t="shared" si="33"/>
        <v>0</v>
      </c>
      <c r="J481" s="14">
        <f t="shared" si="34"/>
        <v>0</v>
      </c>
      <c r="K481" s="15" cm="1">
        <f t="array" ref="K481">AVERAGE(ABS($I$3:I481))</f>
        <v>4.4112734864300629</v>
      </c>
      <c r="L481" s="15" cm="1">
        <f t="array" ref="L481">AVERAGE(ABS($J$3:J481))</f>
        <v>0.14279749478079334</v>
      </c>
      <c r="O481" s="13">
        <f t="shared" si="35"/>
        <v>0</v>
      </c>
      <c r="P481" s="14">
        <f t="shared" si="36"/>
        <v>0</v>
      </c>
    </row>
    <row r="482" spans="8:16" x14ac:dyDescent="0.25">
      <c r="H482" s="6" t="s">
        <v>27</v>
      </c>
      <c r="I482" s="13">
        <f t="shared" si="33"/>
        <v>0</v>
      </c>
      <c r="J482" s="14">
        <f t="shared" si="34"/>
        <v>0</v>
      </c>
      <c r="K482" s="15" cm="1">
        <f t="array" ref="K482">AVERAGE(ABS($I$3:I482))</f>
        <v>4.4020833333333336</v>
      </c>
      <c r="L482" s="15" cm="1">
        <f t="array" ref="L482">AVERAGE(ABS($J$3:J482))</f>
        <v>0.14250000000000002</v>
      </c>
      <c r="O482" s="13">
        <f t="shared" si="35"/>
        <v>0</v>
      </c>
      <c r="P482" s="14">
        <f t="shared" si="36"/>
        <v>0</v>
      </c>
    </row>
    <row r="483" spans="8:16" x14ac:dyDescent="0.25">
      <c r="H483" s="6" t="s">
        <v>27</v>
      </c>
      <c r="I483" s="13">
        <f t="shared" si="33"/>
        <v>0</v>
      </c>
      <c r="J483" s="14">
        <f t="shared" si="34"/>
        <v>0</v>
      </c>
      <c r="K483" s="15" cm="1">
        <f t="array" ref="K483">AVERAGE(ABS($I$3:I483))</f>
        <v>4.3929313929313931</v>
      </c>
      <c r="L483" s="15" cm="1">
        <f t="array" ref="L483">AVERAGE(ABS($J$3:J483))</f>
        <v>0.14220374220374221</v>
      </c>
      <c r="O483" s="13">
        <f t="shared" si="35"/>
        <v>0</v>
      </c>
      <c r="P483" s="14">
        <f t="shared" si="36"/>
        <v>0</v>
      </c>
    </row>
    <row r="484" spans="8:16" x14ac:dyDescent="0.25">
      <c r="H484" s="6" t="s">
        <v>27</v>
      </c>
      <c r="I484" s="13">
        <f t="shared" si="33"/>
        <v>0</v>
      </c>
      <c r="J484" s="14">
        <f t="shared" si="34"/>
        <v>0</v>
      </c>
      <c r="K484" s="15" cm="1">
        <f t="array" ref="K484">AVERAGE(ABS($I$3:I484))</f>
        <v>4.3838174273858925</v>
      </c>
      <c r="L484" s="15" cm="1">
        <f t="array" ref="L484">AVERAGE(ABS($J$3:J484))</f>
        <v>0.14190871369294608</v>
      </c>
      <c r="O484" s="13">
        <f t="shared" si="35"/>
        <v>0</v>
      </c>
      <c r="P484" s="14">
        <f t="shared" si="36"/>
        <v>0</v>
      </c>
    </row>
    <row r="485" spans="8:16" x14ac:dyDescent="0.25">
      <c r="H485" s="6" t="s">
        <v>27</v>
      </c>
      <c r="I485" s="13">
        <f t="shared" si="33"/>
        <v>0</v>
      </c>
      <c r="J485" s="14">
        <f t="shared" si="34"/>
        <v>0</v>
      </c>
      <c r="K485" s="15" cm="1">
        <f t="array" ref="K485">AVERAGE(ABS($I$3:I485))</f>
        <v>4.374741200828157</v>
      </c>
      <c r="L485" s="15" cm="1">
        <f t="array" ref="L485">AVERAGE(ABS($J$3:J485))</f>
        <v>0.14161490683229816</v>
      </c>
      <c r="O485" s="13">
        <f t="shared" si="35"/>
        <v>0</v>
      </c>
      <c r="P485" s="14">
        <f t="shared" si="36"/>
        <v>0</v>
      </c>
    </row>
    <row r="486" spans="8:16" x14ac:dyDescent="0.25">
      <c r="H486" s="6" t="s">
        <v>27</v>
      </c>
      <c r="I486" s="13">
        <f t="shared" si="33"/>
        <v>0</v>
      </c>
      <c r="J486" s="14">
        <f t="shared" si="34"/>
        <v>0</v>
      </c>
      <c r="K486" s="15" cm="1">
        <f t="array" ref="K486">AVERAGE(ABS($I$3:I486))</f>
        <v>4.365702479338843</v>
      </c>
      <c r="L486" s="15" cm="1">
        <f t="array" ref="L486">AVERAGE(ABS($J$3:J486))</f>
        <v>0.14132231404958678</v>
      </c>
      <c r="O486" s="13">
        <f t="shared" si="35"/>
        <v>0</v>
      </c>
      <c r="P486" s="14">
        <f t="shared" si="36"/>
        <v>0</v>
      </c>
    </row>
    <row r="487" spans="8:16" x14ac:dyDescent="0.25">
      <c r="H487" s="6" t="s">
        <v>27</v>
      </c>
      <c r="I487" s="13">
        <f t="shared" si="33"/>
        <v>0</v>
      </c>
      <c r="J487" s="14">
        <f t="shared" si="34"/>
        <v>0</v>
      </c>
      <c r="K487" s="15" cm="1">
        <f t="array" ref="K487">AVERAGE(ABS($I$3:I487))</f>
        <v>4.3567010309278347</v>
      </c>
      <c r="L487" s="15" cm="1">
        <f t="array" ref="L487">AVERAGE(ABS($J$3:J487))</f>
        <v>0.14103092783505156</v>
      </c>
      <c r="O487" s="13">
        <f t="shared" si="35"/>
        <v>0</v>
      </c>
      <c r="P487" s="14">
        <f t="shared" si="36"/>
        <v>0</v>
      </c>
    </row>
    <row r="488" spans="8:16" x14ac:dyDescent="0.25">
      <c r="H488" s="6" t="s">
        <v>27</v>
      </c>
      <c r="I488" s="13">
        <f t="shared" si="33"/>
        <v>0</v>
      </c>
      <c r="J488" s="14">
        <f t="shared" si="34"/>
        <v>0</v>
      </c>
      <c r="K488" s="15" cm="1">
        <f t="array" ref="K488">AVERAGE(ABS($I$3:I488))</f>
        <v>4.3477366255144032</v>
      </c>
      <c r="L488" s="15" cm="1">
        <f t="array" ref="L488">AVERAGE(ABS($J$3:J488))</f>
        <v>0.14074074074074075</v>
      </c>
      <c r="O488" s="13">
        <f t="shared" si="35"/>
        <v>0</v>
      </c>
      <c r="P488" s="14">
        <f t="shared" si="36"/>
        <v>0</v>
      </c>
    </row>
    <row r="489" spans="8:16" x14ac:dyDescent="0.25">
      <c r="H489" s="6" t="s">
        <v>27</v>
      </c>
      <c r="I489" s="13">
        <f t="shared" si="33"/>
        <v>0</v>
      </c>
      <c r="J489" s="14">
        <f t="shared" si="34"/>
        <v>0</v>
      </c>
      <c r="K489" s="15" cm="1">
        <f t="array" ref="K489">AVERAGE(ABS($I$3:I489))</f>
        <v>4.3388090349075972</v>
      </c>
      <c r="L489" s="15" cm="1">
        <f t="array" ref="L489">AVERAGE(ABS($J$3:J489))</f>
        <v>0.14045174537987681</v>
      </c>
      <c r="O489" s="13">
        <f t="shared" si="35"/>
        <v>0</v>
      </c>
      <c r="P489" s="14">
        <f t="shared" si="36"/>
        <v>0</v>
      </c>
    </row>
    <row r="490" spans="8:16" x14ac:dyDescent="0.25">
      <c r="H490" s="6" t="s">
        <v>27</v>
      </c>
      <c r="I490" s="13">
        <f t="shared" si="33"/>
        <v>0</v>
      </c>
      <c r="J490" s="14">
        <f t="shared" si="34"/>
        <v>0</v>
      </c>
      <c r="K490" s="15" cm="1">
        <f t="array" ref="K490">AVERAGE(ABS($I$3:I490))</f>
        <v>4.3299180327868854</v>
      </c>
      <c r="L490" s="15" cm="1">
        <f t="array" ref="L490">AVERAGE(ABS($J$3:J490))</f>
        <v>0.14016393442622951</v>
      </c>
      <c r="O490" s="13">
        <f t="shared" si="35"/>
        <v>0</v>
      </c>
      <c r="P490" s="14">
        <f t="shared" si="36"/>
        <v>0</v>
      </c>
    </row>
    <row r="491" spans="8:16" x14ac:dyDescent="0.25">
      <c r="H491" s="6" t="s">
        <v>27</v>
      </c>
      <c r="I491" s="13">
        <f t="shared" si="33"/>
        <v>0</v>
      </c>
      <c r="J491" s="14">
        <f t="shared" si="34"/>
        <v>0</v>
      </c>
      <c r="K491" s="15" cm="1">
        <f t="array" ref="K491">AVERAGE(ABS($I$3:I491))</f>
        <v>4.3210633946830264</v>
      </c>
      <c r="L491" s="15" cm="1">
        <f t="array" ref="L491">AVERAGE(ABS($J$3:J491))</f>
        <v>0.13987730061349696</v>
      </c>
      <c r="O491" s="13">
        <f t="shared" si="35"/>
        <v>0</v>
      </c>
      <c r="P491" s="14">
        <f t="shared" si="36"/>
        <v>0</v>
      </c>
    </row>
    <row r="492" spans="8:16" x14ac:dyDescent="0.25">
      <c r="H492" s="6" t="s">
        <v>27</v>
      </c>
      <c r="I492" s="13">
        <f t="shared" si="33"/>
        <v>0</v>
      </c>
      <c r="J492" s="14">
        <f t="shared" si="34"/>
        <v>0</v>
      </c>
      <c r="K492" s="15" cm="1">
        <f t="array" ref="K492">AVERAGE(ABS($I$3:I492))</f>
        <v>4.3122448979591841</v>
      </c>
      <c r="L492" s="15" cm="1">
        <f t="array" ref="L492">AVERAGE(ABS($J$3:J492))</f>
        <v>0.13959183673469389</v>
      </c>
      <c r="O492" s="13">
        <f t="shared" si="35"/>
        <v>0</v>
      </c>
      <c r="P492" s="14">
        <f t="shared" si="36"/>
        <v>0</v>
      </c>
    </row>
    <row r="493" spans="8:16" x14ac:dyDescent="0.25">
      <c r="H493" s="6" t="s">
        <v>27</v>
      </c>
      <c r="I493" s="13">
        <f t="shared" si="33"/>
        <v>0</v>
      </c>
      <c r="J493" s="14">
        <f t="shared" si="34"/>
        <v>0</v>
      </c>
      <c r="K493" s="15" cm="1">
        <f t="array" ref="K493">AVERAGE(ABS($I$3:I493))</f>
        <v>4.303462321792261</v>
      </c>
      <c r="L493" s="15" cm="1">
        <f t="array" ref="L493">AVERAGE(ABS($J$3:J493))</f>
        <v>0.13930753564154788</v>
      </c>
      <c r="O493" s="13">
        <f t="shared" si="35"/>
        <v>0</v>
      </c>
      <c r="P493" s="14">
        <f t="shared" si="36"/>
        <v>0</v>
      </c>
    </row>
    <row r="494" spans="8:16" x14ac:dyDescent="0.25">
      <c r="H494" s="6" t="s">
        <v>27</v>
      </c>
      <c r="I494" s="13">
        <f t="shared" si="33"/>
        <v>0</v>
      </c>
      <c r="J494" s="14">
        <f t="shared" si="34"/>
        <v>0</v>
      </c>
      <c r="K494" s="15" cm="1">
        <f t="array" ref="K494">AVERAGE(ABS($I$3:I494))</f>
        <v>4.2947154471544717</v>
      </c>
      <c r="L494" s="15" cm="1">
        <f t="array" ref="L494">AVERAGE(ABS($J$3:J494))</f>
        <v>0.13902439024390245</v>
      </c>
      <c r="O494" s="13">
        <f t="shared" si="35"/>
        <v>0</v>
      </c>
      <c r="P494" s="14">
        <f t="shared" si="36"/>
        <v>0</v>
      </c>
    </row>
    <row r="495" spans="8:16" x14ac:dyDescent="0.25">
      <c r="H495" s="6" t="s">
        <v>27</v>
      </c>
      <c r="I495" s="13">
        <f t="shared" si="33"/>
        <v>0</v>
      </c>
      <c r="J495" s="14">
        <f t="shared" si="34"/>
        <v>0</v>
      </c>
      <c r="K495" s="15" cm="1">
        <f t="array" ref="K495">AVERAGE(ABS($I$3:I495))</f>
        <v>4.2860040567951314</v>
      </c>
      <c r="L495" s="15" cm="1">
        <f t="array" ref="L495">AVERAGE(ABS($J$3:J495))</f>
        <v>0.13874239350912779</v>
      </c>
      <c r="O495" s="13">
        <f t="shared" si="35"/>
        <v>0</v>
      </c>
      <c r="P495" s="14">
        <f t="shared" si="36"/>
        <v>0</v>
      </c>
    </row>
    <row r="496" spans="8:16" x14ac:dyDescent="0.25">
      <c r="H496" s="6" t="s">
        <v>27</v>
      </c>
      <c r="I496" s="13">
        <f t="shared" si="33"/>
        <v>0</v>
      </c>
      <c r="J496" s="14">
        <f t="shared" si="34"/>
        <v>0</v>
      </c>
      <c r="K496" s="15" cm="1">
        <f t="array" ref="K496">AVERAGE(ABS($I$3:I496))</f>
        <v>4.2773279352226723</v>
      </c>
      <c r="L496" s="15" cm="1">
        <f t="array" ref="L496">AVERAGE(ABS($J$3:J496))</f>
        <v>0.13846153846153847</v>
      </c>
      <c r="O496" s="13">
        <f t="shared" si="35"/>
        <v>0</v>
      </c>
      <c r="P496" s="14">
        <f t="shared" si="36"/>
        <v>0</v>
      </c>
    </row>
    <row r="497" spans="8:16" x14ac:dyDescent="0.25">
      <c r="H497" s="6" t="s">
        <v>27</v>
      </c>
      <c r="I497" s="13">
        <f t="shared" si="33"/>
        <v>0</v>
      </c>
      <c r="J497" s="14">
        <f t="shared" si="34"/>
        <v>0</v>
      </c>
      <c r="K497" s="15" cm="1">
        <f t="array" ref="K497">AVERAGE(ABS($I$3:I497))</f>
        <v>4.2686868686868689</v>
      </c>
      <c r="L497" s="15" cm="1">
        <f t="array" ref="L497">AVERAGE(ABS($J$3:J497))</f>
        <v>0.13818181818181818</v>
      </c>
      <c r="O497" s="13">
        <f t="shared" si="35"/>
        <v>0</v>
      </c>
      <c r="P497" s="14">
        <f t="shared" si="36"/>
        <v>0</v>
      </c>
    </row>
    <row r="498" spans="8:16" x14ac:dyDescent="0.25">
      <c r="H498" s="6" t="s">
        <v>27</v>
      </c>
      <c r="I498" s="13">
        <f t="shared" si="33"/>
        <v>0</v>
      </c>
      <c r="J498" s="14">
        <f t="shared" si="34"/>
        <v>0</v>
      </c>
      <c r="K498" s="15" cm="1">
        <f t="array" ref="K498">AVERAGE(ABS($I$3:I498))</f>
        <v>4.26008064516129</v>
      </c>
      <c r="L498" s="15" cm="1">
        <f t="array" ref="L498">AVERAGE(ABS($J$3:J498))</f>
        <v>0.13790322580645162</v>
      </c>
      <c r="O498" s="13">
        <f t="shared" si="35"/>
        <v>0</v>
      </c>
      <c r="P498" s="14">
        <f t="shared" si="36"/>
        <v>0</v>
      </c>
    </row>
    <row r="499" spans="8:16" x14ac:dyDescent="0.25">
      <c r="H499" s="6" t="s">
        <v>27</v>
      </c>
      <c r="I499" s="13">
        <f t="shared" si="33"/>
        <v>0</v>
      </c>
      <c r="J499" s="14">
        <f t="shared" si="34"/>
        <v>0</v>
      </c>
      <c r="K499" s="15" cm="1">
        <f t="array" ref="K499">AVERAGE(ABS($I$3:I499))</f>
        <v>4.2515090543259557</v>
      </c>
      <c r="L499" s="15" cm="1">
        <f t="array" ref="L499">AVERAGE(ABS($J$3:J499))</f>
        <v>0.137625754527163</v>
      </c>
      <c r="O499" s="13">
        <f t="shared" si="35"/>
        <v>0</v>
      </c>
      <c r="P499" s="14">
        <f t="shared" si="36"/>
        <v>0</v>
      </c>
    </row>
    <row r="500" spans="8:16" x14ac:dyDescent="0.25">
      <c r="H500" s="6" t="s">
        <v>27</v>
      </c>
      <c r="I500" s="13">
        <f t="shared" si="33"/>
        <v>0</v>
      </c>
      <c r="J500" s="14">
        <f t="shared" si="34"/>
        <v>0</v>
      </c>
      <c r="K500" s="15" cm="1">
        <f t="array" ref="K500">AVERAGE(ABS($I$3:I500))</f>
        <v>4.2429718875502012</v>
      </c>
      <c r="L500" s="15" cm="1">
        <f t="array" ref="L500">AVERAGE(ABS($J$3:J500))</f>
        <v>0.13734939759036147</v>
      </c>
      <c r="O500" s="13">
        <f t="shared" si="35"/>
        <v>0</v>
      </c>
      <c r="P500" s="14">
        <f t="shared" si="36"/>
        <v>0</v>
      </c>
    </row>
    <row r="501" spans="8:16" x14ac:dyDescent="0.25">
      <c r="H501" s="6" t="s">
        <v>27</v>
      </c>
      <c r="I501" s="13">
        <f t="shared" si="33"/>
        <v>0</v>
      </c>
      <c r="J501" s="14">
        <f t="shared" si="34"/>
        <v>0</v>
      </c>
      <c r="K501" s="15" cm="1">
        <f t="array" ref="K501">AVERAGE(ABS($I$3:I501))</f>
        <v>4.2344689378757518</v>
      </c>
      <c r="L501" s="15" cm="1">
        <f t="array" ref="L501">AVERAGE(ABS($J$3:J501))</f>
        <v>0.1370741482965932</v>
      </c>
      <c r="O501" s="13">
        <f t="shared" si="35"/>
        <v>0</v>
      </c>
      <c r="P501" s="14">
        <f t="shared" si="36"/>
        <v>0</v>
      </c>
    </row>
    <row r="502" spans="8:16" x14ac:dyDescent="0.25">
      <c r="H502" s="6" t="s">
        <v>27</v>
      </c>
      <c r="I502" s="13">
        <f t="shared" si="33"/>
        <v>0</v>
      </c>
      <c r="J502" s="14">
        <f t="shared" si="34"/>
        <v>0</v>
      </c>
      <c r="K502" s="15" cm="1">
        <f t="array" ref="K502">AVERAGE(ABS($I$3:I502))</f>
        <v>4.226</v>
      </c>
      <c r="L502" s="15" cm="1">
        <f t="array" ref="L502">AVERAGE(ABS($J$3:J502))</f>
        <v>0.1368</v>
      </c>
      <c r="O502" s="13">
        <f t="shared" si="35"/>
        <v>0</v>
      </c>
      <c r="P502" s="14">
        <f t="shared" si="36"/>
        <v>0</v>
      </c>
    </row>
    <row r="503" spans="8:16" x14ac:dyDescent="0.25">
      <c r="H503" s="6" t="s">
        <v>27</v>
      </c>
      <c r="I503" s="13">
        <f t="shared" si="33"/>
        <v>0</v>
      </c>
      <c r="J503" s="14">
        <f t="shared" si="34"/>
        <v>0</v>
      </c>
      <c r="K503" s="15" cm="1">
        <f t="array" ref="K503">AVERAGE(ABS($I$3:I503))</f>
        <v>4.2175648702594808</v>
      </c>
      <c r="L503" s="15" cm="1">
        <f t="array" ref="L503">AVERAGE(ABS($J$3:J503))</f>
        <v>0.13652694610778443</v>
      </c>
      <c r="O503" s="13">
        <f t="shared" si="35"/>
        <v>0</v>
      </c>
      <c r="P503" s="14">
        <f t="shared" si="36"/>
        <v>0</v>
      </c>
    </row>
    <row r="504" spans="8:16" x14ac:dyDescent="0.25">
      <c r="H504" s="6" t="s">
        <v>27</v>
      </c>
      <c r="I504" s="13">
        <f t="shared" si="33"/>
        <v>0</v>
      </c>
      <c r="J504" s="14">
        <f t="shared" si="34"/>
        <v>0</v>
      </c>
      <c r="K504" s="15" cm="1">
        <f t="array" ref="K504">AVERAGE(ABS($I$3:I504))</f>
        <v>4.2091633466135461</v>
      </c>
      <c r="L504" s="15" cm="1">
        <f t="array" ref="L504">AVERAGE(ABS($J$3:J504))</f>
        <v>0.13625498007968129</v>
      </c>
      <c r="O504" s="13">
        <f t="shared" si="35"/>
        <v>0</v>
      </c>
      <c r="P504" s="14">
        <f t="shared" si="36"/>
        <v>0</v>
      </c>
    </row>
    <row r="505" spans="8:16" x14ac:dyDescent="0.25">
      <c r="H505" s="6" t="s">
        <v>27</v>
      </c>
      <c r="I505" s="13">
        <f t="shared" si="33"/>
        <v>0</v>
      </c>
      <c r="J505" s="14">
        <f t="shared" si="34"/>
        <v>0</v>
      </c>
      <c r="K505" s="15" cm="1">
        <f t="array" ref="K505">AVERAGE(ABS($I$3:I505))</f>
        <v>4.2007952286282304</v>
      </c>
      <c r="L505" s="15" cm="1">
        <f t="array" ref="L505">AVERAGE(ABS($J$3:J505))</f>
        <v>0.13598409542743539</v>
      </c>
      <c r="O505" s="13">
        <f t="shared" si="35"/>
        <v>0</v>
      </c>
      <c r="P505" s="14">
        <f t="shared" si="36"/>
        <v>0</v>
      </c>
    </row>
    <row r="506" spans="8:16" x14ac:dyDescent="0.25">
      <c r="H506" s="6" t="s">
        <v>27</v>
      </c>
      <c r="I506" s="13">
        <f t="shared" si="33"/>
        <v>0</v>
      </c>
      <c r="J506" s="14">
        <f t="shared" si="34"/>
        <v>0</v>
      </c>
      <c r="K506" s="15" cm="1">
        <f t="array" ref="K506">AVERAGE(ABS($I$3:I506))</f>
        <v>4.1924603174603172</v>
      </c>
      <c r="L506" s="15" cm="1">
        <f t="array" ref="L506">AVERAGE(ABS($J$3:J506))</f>
        <v>0.13571428571428573</v>
      </c>
      <c r="O506" s="13">
        <f t="shared" si="35"/>
        <v>0</v>
      </c>
      <c r="P506" s="14">
        <f t="shared" si="36"/>
        <v>0</v>
      </c>
    </row>
    <row r="507" spans="8:16" x14ac:dyDescent="0.25">
      <c r="H507" s="6" t="s">
        <v>27</v>
      </c>
      <c r="I507" s="13">
        <f t="shared" si="33"/>
        <v>0</v>
      </c>
      <c r="J507" s="14">
        <f t="shared" si="34"/>
        <v>0</v>
      </c>
      <c r="K507" s="15" cm="1">
        <f t="array" ref="K507">AVERAGE(ABS($I$3:I507))</f>
        <v>4.1841584158415843</v>
      </c>
      <c r="L507" s="15" cm="1">
        <f t="array" ref="L507">AVERAGE(ABS($J$3:J507))</f>
        <v>0.13544554455445545</v>
      </c>
      <c r="O507" s="13">
        <f t="shared" si="35"/>
        <v>0</v>
      </c>
      <c r="P507" s="14">
        <f t="shared" si="36"/>
        <v>0</v>
      </c>
    </row>
    <row r="508" spans="8:16" x14ac:dyDescent="0.25">
      <c r="H508" s="6" t="s">
        <v>27</v>
      </c>
      <c r="I508" s="13">
        <f t="shared" si="33"/>
        <v>0</v>
      </c>
      <c r="J508" s="14">
        <f t="shared" si="34"/>
        <v>0</v>
      </c>
      <c r="K508" s="15" cm="1">
        <f t="array" ref="K508">AVERAGE(ABS($I$3:I508))</f>
        <v>4.1758893280632412</v>
      </c>
      <c r="L508" s="15" cm="1">
        <f t="array" ref="L508">AVERAGE(ABS($J$3:J508))</f>
        <v>0.13517786561264825</v>
      </c>
      <c r="O508" s="13">
        <f t="shared" si="35"/>
        <v>0</v>
      </c>
      <c r="P508" s="14">
        <f t="shared" si="36"/>
        <v>0</v>
      </c>
    </row>
    <row r="509" spans="8:16" x14ac:dyDescent="0.25">
      <c r="H509" s="6" t="s">
        <v>27</v>
      </c>
      <c r="I509" s="13">
        <f t="shared" si="33"/>
        <v>0</v>
      </c>
      <c r="J509" s="14">
        <f t="shared" si="34"/>
        <v>0</v>
      </c>
      <c r="K509" s="15" cm="1">
        <f t="array" ref="K509">AVERAGE(ABS($I$3:I509))</f>
        <v>4.167652859960552</v>
      </c>
      <c r="L509" s="15" cm="1">
        <f t="array" ref="L509">AVERAGE(ABS($J$3:J509))</f>
        <v>0.13491124260355031</v>
      </c>
      <c r="O509" s="13">
        <f t="shared" si="35"/>
        <v>0</v>
      </c>
      <c r="P509" s="14">
        <f t="shared" si="36"/>
        <v>0</v>
      </c>
    </row>
    <row r="510" spans="8:16" x14ac:dyDescent="0.25">
      <c r="H510" s="6" t="s">
        <v>27</v>
      </c>
      <c r="I510" s="13">
        <f t="shared" si="33"/>
        <v>0</v>
      </c>
      <c r="J510" s="14">
        <f t="shared" si="34"/>
        <v>0</v>
      </c>
      <c r="K510" s="15" cm="1">
        <f t="array" ref="K510">AVERAGE(ABS($I$3:I510))</f>
        <v>4.159448818897638</v>
      </c>
      <c r="L510" s="15" cm="1">
        <f t="array" ref="L510">AVERAGE(ABS($J$3:J510))</f>
        <v>0.13464566929133859</v>
      </c>
      <c r="O510" s="13">
        <f t="shared" si="35"/>
        <v>0</v>
      </c>
      <c r="P510" s="14">
        <f t="shared" si="36"/>
        <v>0</v>
      </c>
    </row>
    <row r="511" spans="8:16" x14ac:dyDescent="0.25">
      <c r="H511" s="6" t="s">
        <v>27</v>
      </c>
      <c r="I511" s="13">
        <f t="shared" si="33"/>
        <v>0</v>
      </c>
      <c r="J511" s="14">
        <f t="shared" si="34"/>
        <v>0</v>
      </c>
      <c r="K511" s="15" cm="1">
        <f t="array" ref="K511">AVERAGE(ABS($I$3:I511))</f>
        <v>4.1512770137524555</v>
      </c>
      <c r="L511" s="15" cm="1">
        <f t="array" ref="L511">AVERAGE(ABS($J$3:J511))</f>
        <v>0.1343811394891945</v>
      </c>
      <c r="O511" s="13">
        <f t="shared" si="35"/>
        <v>0</v>
      </c>
      <c r="P511" s="14">
        <f t="shared" si="36"/>
        <v>0</v>
      </c>
    </row>
    <row r="512" spans="8:16" x14ac:dyDescent="0.25">
      <c r="H512" s="6" t="s">
        <v>27</v>
      </c>
      <c r="I512" s="13">
        <f t="shared" si="33"/>
        <v>0</v>
      </c>
      <c r="J512" s="14">
        <f t="shared" si="34"/>
        <v>0</v>
      </c>
      <c r="K512" s="15" cm="1">
        <f t="array" ref="K512">AVERAGE(ABS($I$3:I512))</f>
        <v>4.1431372549019612</v>
      </c>
      <c r="L512" s="15" cm="1">
        <f t="array" ref="L512">AVERAGE(ABS($J$3:J512))</f>
        <v>0.13411764705882354</v>
      </c>
      <c r="O512" s="13">
        <f t="shared" si="35"/>
        <v>0</v>
      </c>
      <c r="P512" s="14">
        <f t="shared" si="36"/>
        <v>0</v>
      </c>
    </row>
    <row r="513" spans="8:16" x14ac:dyDescent="0.25">
      <c r="H513" s="6" t="s">
        <v>27</v>
      </c>
      <c r="I513" s="13">
        <f t="shared" si="33"/>
        <v>0</v>
      </c>
      <c r="J513" s="14">
        <f t="shared" si="34"/>
        <v>0</v>
      </c>
      <c r="K513" s="15" cm="1">
        <f t="array" ref="K513">AVERAGE(ABS($I$3:I513))</f>
        <v>4.1350293542074361</v>
      </c>
      <c r="L513" s="15" cm="1">
        <f t="array" ref="L513">AVERAGE(ABS($J$3:J513))</f>
        <v>0.13385518590998044</v>
      </c>
      <c r="O513" s="13">
        <f t="shared" si="35"/>
        <v>0</v>
      </c>
      <c r="P513" s="14">
        <f t="shared" si="36"/>
        <v>0</v>
      </c>
    </row>
    <row r="514" spans="8:16" x14ac:dyDescent="0.25">
      <c r="H514" s="6" t="s">
        <v>27</v>
      </c>
      <c r="I514" s="13">
        <f t="shared" si="33"/>
        <v>0</v>
      </c>
      <c r="J514" s="14">
        <f t="shared" si="34"/>
        <v>0</v>
      </c>
      <c r="K514" s="15" cm="1">
        <f t="array" ref="K514">AVERAGE(ABS($I$3:I514))</f>
        <v>4.126953125</v>
      </c>
      <c r="L514" s="15" cm="1">
        <f t="array" ref="L514">AVERAGE(ABS($J$3:J514))</f>
        <v>0.13359375000000001</v>
      </c>
      <c r="O514" s="13">
        <f t="shared" si="35"/>
        <v>0</v>
      </c>
      <c r="P514" s="14">
        <f t="shared" si="36"/>
        <v>0</v>
      </c>
    </row>
    <row r="515" spans="8:16" x14ac:dyDescent="0.25">
      <c r="H515" s="6" t="s">
        <v>27</v>
      </c>
      <c r="I515" s="13">
        <f t="shared" si="33"/>
        <v>0</v>
      </c>
      <c r="J515" s="14">
        <f t="shared" si="34"/>
        <v>0</v>
      </c>
      <c r="K515" s="15" cm="1">
        <f t="array" ref="K515">AVERAGE(ABS($I$3:I515))</f>
        <v>4.1189083820662766</v>
      </c>
      <c r="L515" s="15" cm="1">
        <f t="array" ref="L515">AVERAGE(ABS($J$3:J515))</f>
        <v>0.13333333333333333</v>
      </c>
      <c r="O515" s="13">
        <f t="shared" si="35"/>
        <v>0</v>
      </c>
      <c r="P515" s="14">
        <f t="shared" si="36"/>
        <v>0</v>
      </c>
    </row>
    <row r="516" spans="8:16" x14ac:dyDescent="0.25">
      <c r="H516" s="6" t="s">
        <v>27</v>
      </c>
      <c r="I516" s="13">
        <f t="shared" ref="I516:I555" si="37">(E516-D516)</f>
        <v>0</v>
      </c>
      <c r="J516" s="14">
        <f t="shared" ref="J516:J555" si="38">(G516-F516)</f>
        <v>0</v>
      </c>
      <c r="K516" s="15" cm="1">
        <f t="array" ref="K516">AVERAGE(ABS($I$3:I516))</f>
        <v>4.1108949416342409</v>
      </c>
      <c r="L516" s="15" cm="1">
        <f t="array" ref="L516">AVERAGE(ABS($J$3:J516))</f>
        <v>0.13307392996108949</v>
      </c>
      <c r="O516" s="13">
        <f t="shared" ref="O516:O555" si="39">(M516-D516)</f>
        <v>0</v>
      </c>
      <c r="P516" s="14">
        <f t="shared" ref="P516:P554" si="40">(N516-F516)</f>
        <v>0</v>
      </c>
    </row>
    <row r="517" spans="8:16" x14ac:dyDescent="0.25">
      <c r="H517" s="6" t="s">
        <v>27</v>
      </c>
      <c r="I517" s="13">
        <f t="shared" si="37"/>
        <v>0</v>
      </c>
      <c r="J517" s="14">
        <f t="shared" si="38"/>
        <v>0</v>
      </c>
      <c r="K517" s="15" cm="1">
        <f t="array" ref="K517">AVERAGE(ABS($I$3:I517))</f>
        <v>4.1029126213592235</v>
      </c>
      <c r="L517" s="15" cm="1">
        <f t="array" ref="L517">AVERAGE(ABS($J$3:J517))</f>
        <v>0.13281553398058255</v>
      </c>
      <c r="O517" s="13">
        <f t="shared" si="39"/>
        <v>0</v>
      </c>
      <c r="P517" s="14">
        <f t="shared" si="40"/>
        <v>0</v>
      </c>
    </row>
    <row r="518" spans="8:16" x14ac:dyDescent="0.25">
      <c r="H518" s="6" t="s">
        <v>27</v>
      </c>
      <c r="I518" s="13">
        <f t="shared" si="37"/>
        <v>0</v>
      </c>
      <c r="J518" s="14">
        <f t="shared" si="38"/>
        <v>0</v>
      </c>
      <c r="K518" s="15" cm="1">
        <f t="array" ref="K518">AVERAGE(ABS($I$3:I518))</f>
        <v>4.0949612403100772</v>
      </c>
      <c r="L518" s="15" cm="1">
        <f t="array" ref="L518">AVERAGE(ABS($J$3:J518))</f>
        <v>0.13255813953488374</v>
      </c>
      <c r="O518" s="13">
        <f t="shared" si="39"/>
        <v>0</v>
      </c>
      <c r="P518" s="14">
        <f t="shared" si="40"/>
        <v>0</v>
      </c>
    </row>
    <row r="519" spans="8:16" x14ac:dyDescent="0.25">
      <c r="H519" s="6" t="s">
        <v>27</v>
      </c>
      <c r="I519" s="13">
        <f t="shared" si="37"/>
        <v>0</v>
      </c>
      <c r="J519" s="14">
        <f t="shared" si="38"/>
        <v>0</v>
      </c>
      <c r="K519" s="15" cm="1">
        <f t="array" ref="K519">AVERAGE(ABS($I$3:I519))</f>
        <v>4.0870406189555126</v>
      </c>
      <c r="L519" s="15" cm="1">
        <f t="array" ref="L519">AVERAGE(ABS($J$3:J519))</f>
        <v>0.13230174081237911</v>
      </c>
      <c r="O519" s="13">
        <f t="shared" si="39"/>
        <v>0</v>
      </c>
      <c r="P519" s="14">
        <f t="shared" si="40"/>
        <v>0</v>
      </c>
    </row>
    <row r="520" spans="8:16" x14ac:dyDescent="0.25">
      <c r="H520" s="6" t="s">
        <v>27</v>
      </c>
      <c r="I520" s="13">
        <f t="shared" si="37"/>
        <v>0</v>
      </c>
      <c r="J520" s="14">
        <f t="shared" si="38"/>
        <v>0</v>
      </c>
      <c r="K520" s="15" cm="1">
        <f t="array" ref="K520">AVERAGE(ABS($I$3:I520))</f>
        <v>4.0791505791505793</v>
      </c>
      <c r="L520" s="15" cm="1">
        <f t="array" ref="L520">AVERAGE(ABS($J$3:J520))</f>
        <v>0.13204633204633207</v>
      </c>
      <c r="O520" s="13">
        <f t="shared" si="39"/>
        <v>0</v>
      </c>
      <c r="P520" s="14">
        <f t="shared" si="40"/>
        <v>0</v>
      </c>
    </row>
    <row r="521" spans="8:16" x14ac:dyDescent="0.25">
      <c r="H521" s="6" t="s">
        <v>27</v>
      </c>
      <c r="I521" s="13">
        <f t="shared" si="37"/>
        <v>0</v>
      </c>
      <c r="J521" s="14">
        <f t="shared" si="38"/>
        <v>0</v>
      </c>
      <c r="K521" s="15" cm="1">
        <f t="array" ref="K521">AVERAGE(ABS($I$3:I521))</f>
        <v>4.071290944123314</v>
      </c>
      <c r="L521" s="15" cm="1">
        <f t="array" ref="L521">AVERAGE(ABS($J$3:J521))</f>
        <v>0.13179190751445088</v>
      </c>
      <c r="O521" s="13">
        <f t="shared" si="39"/>
        <v>0</v>
      </c>
      <c r="P521" s="14">
        <f t="shared" si="40"/>
        <v>0</v>
      </c>
    </row>
    <row r="522" spans="8:16" x14ac:dyDescent="0.25">
      <c r="H522" s="6" t="s">
        <v>27</v>
      </c>
      <c r="I522" s="13">
        <f t="shared" si="37"/>
        <v>0</v>
      </c>
      <c r="J522" s="14">
        <f t="shared" si="38"/>
        <v>0</v>
      </c>
      <c r="K522" s="15" cm="1">
        <f t="array" ref="K522">AVERAGE(ABS($I$3:I522))</f>
        <v>4.0634615384615387</v>
      </c>
      <c r="L522" s="15" cm="1">
        <f t="array" ref="L522">AVERAGE(ABS($J$3:J522))</f>
        <v>0.13153846153846155</v>
      </c>
      <c r="O522" s="13">
        <f t="shared" si="39"/>
        <v>0</v>
      </c>
      <c r="P522" s="14">
        <f t="shared" si="40"/>
        <v>0</v>
      </c>
    </row>
    <row r="523" spans="8:16" x14ac:dyDescent="0.25">
      <c r="H523" s="6" t="s">
        <v>27</v>
      </c>
      <c r="I523" s="13">
        <f t="shared" si="37"/>
        <v>0</v>
      </c>
      <c r="J523" s="14">
        <f t="shared" si="38"/>
        <v>0</v>
      </c>
      <c r="K523" s="15" cm="1">
        <f t="array" ref="K523">AVERAGE(ABS($I$3:I523))</f>
        <v>4.0556621880998085</v>
      </c>
      <c r="L523" s="15" cm="1">
        <f t="array" ref="L523">AVERAGE(ABS($J$3:J523))</f>
        <v>0.13128598848368522</v>
      </c>
      <c r="O523" s="13">
        <f t="shared" si="39"/>
        <v>0</v>
      </c>
      <c r="P523" s="14">
        <f t="shared" si="40"/>
        <v>0</v>
      </c>
    </row>
    <row r="524" spans="8:16" x14ac:dyDescent="0.25">
      <c r="H524" s="6" t="s">
        <v>27</v>
      </c>
      <c r="I524" s="13">
        <f t="shared" si="37"/>
        <v>0</v>
      </c>
      <c r="J524" s="14">
        <f t="shared" si="38"/>
        <v>0</v>
      </c>
      <c r="K524" s="15" cm="1">
        <f t="array" ref="K524">AVERAGE(ABS($I$3:I524))</f>
        <v>4.0478927203065131</v>
      </c>
      <c r="L524" s="15" cm="1">
        <f t="array" ref="L524">AVERAGE(ABS($J$3:J524))</f>
        <v>0.1310344827586207</v>
      </c>
      <c r="O524" s="13">
        <f t="shared" si="39"/>
        <v>0</v>
      </c>
      <c r="P524" s="14">
        <f t="shared" si="40"/>
        <v>0</v>
      </c>
    </row>
    <row r="525" spans="8:16" x14ac:dyDescent="0.25">
      <c r="H525" s="6" t="s">
        <v>27</v>
      </c>
      <c r="I525" s="13">
        <f t="shared" si="37"/>
        <v>0</v>
      </c>
      <c r="J525" s="14">
        <f t="shared" si="38"/>
        <v>0</v>
      </c>
      <c r="K525" s="15" cm="1">
        <f t="array" ref="K525">AVERAGE(ABS($I$3:I525))</f>
        <v>4.0401529636711278</v>
      </c>
      <c r="L525" s="15" cm="1">
        <f t="array" ref="L525">AVERAGE(ABS($J$3:J525))</f>
        <v>0.13078393881453157</v>
      </c>
      <c r="O525" s="13">
        <f t="shared" si="39"/>
        <v>0</v>
      </c>
      <c r="P525" s="14">
        <f t="shared" si="40"/>
        <v>0</v>
      </c>
    </row>
    <row r="526" spans="8:16" x14ac:dyDescent="0.25">
      <c r="H526" s="6" t="s">
        <v>27</v>
      </c>
      <c r="I526" s="13">
        <f t="shared" si="37"/>
        <v>0</v>
      </c>
      <c r="J526" s="14">
        <f t="shared" si="38"/>
        <v>0</v>
      </c>
      <c r="K526" s="15" cm="1">
        <f t="array" ref="K526">AVERAGE(ABS($I$3:I526))</f>
        <v>4.0324427480916034</v>
      </c>
      <c r="L526" s="15" cm="1">
        <f t="array" ref="L526">AVERAGE(ABS($J$3:J526))</f>
        <v>0.13053435114503817</v>
      </c>
      <c r="O526" s="13">
        <f t="shared" si="39"/>
        <v>0</v>
      </c>
      <c r="P526" s="14">
        <f t="shared" si="40"/>
        <v>0</v>
      </c>
    </row>
    <row r="527" spans="8:16" x14ac:dyDescent="0.25">
      <c r="H527" s="6" t="s">
        <v>27</v>
      </c>
      <c r="I527" s="13">
        <f t="shared" si="37"/>
        <v>0</v>
      </c>
      <c r="J527" s="14">
        <f t="shared" si="38"/>
        <v>0</v>
      </c>
      <c r="K527" s="15" cm="1">
        <f t="array" ref="K527">AVERAGE(ABS($I$3:I527))</f>
        <v>4.0247619047619043</v>
      </c>
      <c r="L527" s="15" cm="1">
        <f t="array" ref="L527">AVERAGE(ABS($J$3:J527))</f>
        <v>0.13028571428571431</v>
      </c>
      <c r="O527" s="13">
        <f t="shared" si="39"/>
        <v>0</v>
      </c>
      <c r="P527" s="14">
        <f t="shared" si="40"/>
        <v>0</v>
      </c>
    </row>
    <row r="528" spans="8:16" x14ac:dyDescent="0.25">
      <c r="H528" s="6" t="s">
        <v>27</v>
      </c>
      <c r="I528" s="13">
        <f t="shared" si="37"/>
        <v>0</v>
      </c>
      <c r="J528" s="14">
        <f t="shared" si="38"/>
        <v>0</v>
      </c>
      <c r="K528" s="15" cm="1">
        <f t="array" ref="K528">AVERAGE(ABS($I$3:I528))</f>
        <v>4.0171102661596958</v>
      </c>
      <c r="L528" s="15" cm="1">
        <f t="array" ref="L528">AVERAGE(ABS($J$3:J528))</f>
        <v>0.13003802281368823</v>
      </c>
      <c r="O528" s="13">
        <f t="shared" si="39"/>
        <v>0</v>
      </c>
      <c r="P528" s="14">
        <f t="shared" si="40"/>
        <v>0</v>
      </c>
    </row>
    <row r="529" spans="8:16" x14ac:dyDescent="0.25">
      <c r="H529" s="6" t="s">
        <v>27</v>
      </c>
      <c r="I529" s="13">
        <f t="shared" si="37"/>
        <v>0</v>
      </c>
      <c r="J529" s="14">
        <f t="shared" si="38"/>
        <v>0</v>
      </c>
      <c r="K529" s="15" cm="1">
        <f t="array" ref="K529">AVERAGE(ABS($I$3:I529))</f>
        <v>4.0094876660341559</v>
      </c>
      <c r="L529" s="15" cm="1">
        <f t="array" ref="L529">AVERAGE(ABS($J$3:J529))</f>
        <v>0.12979127134724858</v>
      </c>
      <c r="O529" s="13">
        <f t="shared" si="39"/>
        <v>0</v>
      </c>
      <c r="P529" s="14">
        <f t="shared" si="40"/>
        <v>0</v>
      </c>
    </row>
    <row r="530" spans="8:16" x14ac:dyDescent="0.25">
      <c r="H530" s="6" t="s">
        <v>27</v>
      </c>
      <c r="I530" s="13">
        <f t="shared" si="37"/>
        <v>0</v>
      </c>
      <c r="J530" s="14">
        <f t="shared" si="38"/>
        <v>0</v>
      </c>
      <c r="K530" s="15" cm="1">
        <f t="array" ref="K530">AVERAGE(ABS($I$3:I530))</f>
        <v>4.0018939393939394</v>
      </c>
      <c r="L530" s="15" cm="1">
        <f t="array" ref="L530">AVERAGE(ABS($J$3:J530))</f>
        <v>0.12954545454545455</v>
      </c>
      <c r="O530" s="13">
        <f t="shared" si="39"/>
        <v>0</v>
      </c>
      <c r="P530" s="14">
        <f t="shared" si="40"/>
        <v>0</v>
      </c>
    </row>
    <row r="531" spans="8:16" x14ac:dyDescent="0.25">
      <c r="H531" s="6" t="s">
        <v>27</v>
      </c>
      <c r="I531" s="13">
        <f t="shared" si="37"/>
        <v>0</v>
      </c>
      <c r="J531" s="14">
        <f t="shared" si="38"/>
        <v>0</v>
      </c>
      <c r="K531" s="15" cm="1">
        <f t="array" ref="K531">AVERAGE(ABS($I$3:I531))</f>
        <v>3.9943289224952743</v>
      </c>
      <c r="L531" s="15" cm="1">
        <f t="array" ref="L531">AVERAGE(ABS($J$3:J531))</f>
        <v>0.12930056710775048</v>
      </c>
      <c r="O531" s="13">
        <f t="shared" si="39"/>
        <v>0</v>
      </c>
      <c r="P531" s="14">
        <f t="shared" si="40"/>
        <v>0</v>
      </c>
    </row>
    <row r="532" spans="8:16" x14ac:dyDescent="0.25">
      <c r="H532" s="6" t="s">
        <v>27</v>
      </c>
      <c r="I532" s="13">
        <f t="shared" si="37"/>
        <v>0</v>
      </c>
      <c r="J532" s="14">
        <f t="shared" si="38"/>
        <v>0</v>
      </c>
      <c r="K532" s="15" cm="1">
        <f t="array" ref="K532">AVERAGE(ABS($I$3:I532))</f>
        <v>3.9867924528301888</v>
      </c>
      <c r="L532" s="15" cm="1">
        <f t="array" ref="L532">AVERAGE(ABS($J$3:J532))</f>
        <v>0.12905660377358491</v>
      </c>
      <c r="O532" s="13">
        <f t="shared" si="39"/>
        <v>0</v>
      </c>
      <c r="P532" s="14">
        <f t="shared" si="40"/>
        <v>0</v>
      </c>
    </row>
    <row r="533" spans="8:16" x14ac:dyDescent="0.25">
      <c r="H533" s="6" t="s">
        <v>27</v>
      </c>
      <c r="I533" s="13">
        <f t="shared" si="37"/>
        <v>0</v>
      </c>
      <c r="J533" s="14">
        <f t="shared" si="38"/>
        <v>0</v>
      </c>
      <c r="K533" s="15" cm="1">
        <f t="array" ref="K533">AVERAGE(ABS($I$3:I533))</f>
        <v>3.9792843691148776</v>
      </c>
      <c r="L533" s="15" cm="1">
        <f t="array" ref="L533">AVERAGE(ABS($J$3:J533))</f>
        <v>0.12881355932203392</v>
      </c>
      <c r="O533" s="13">
        <f t="shared" si="39"/>
        <v>0</v>
      </c>
      <c r="P533" s="14">
        <f t="shared" si="40"/>
        <v>0</v>
      </c>
    </row>
    <row r="534" spans="8:16" x14ac:dyDescent="0.25">
      <c r="H534" s="6" t="s">
        <v>27</v>
      </c>
      <c r="I534" s="13">
        <f t="shared" si="37"/>
        <v>0</v>
      </c>
      <c r="J534" s="14">
        <f t="shared" si="38"/>
        <v>0</v>
      </c>
      <c r="K534" s="15" cm="1">
        <f t="array" ref="K534">AVERAGE(ABS($I$3:I534))</f>
        <v>3.9718045112781954</v>
      </c>
      <c r="L534" s="15" cm="1">
        <f t="array" ref="L534">AVERAGE(ABS($J$3:J534))</f>
        <v>0.12857142857142859</v>
      </c>
      <c r="O534" s="13">
        <f t="shared" si="39"/>
        <v>0</v>
      </c>
      <c r="P534" s="14">
        <f t="shared" si="40"/>
        <v>0</v>
      </c>
    </row>
    <row r="535" spans="8:16" x14ac:dyDescent="0.25">
      <c r="H535" s="6" t="s">
        <v>27</v>
      </c>
      <c r="I535" s="13">
        <f t="shared" si="37"/>
        <v>0</v>
      </c>
      <c r="J535" s="14">
        <f t="shared" si="38"/>
        <v>0</v>
      </c>
      <c r="K535" s="15" cm="1">
        <f t="array" ref="K535">AVERAGE(ABS($I$3:I535))</f>
        <v>3.9643527204502815</v>
      </c>
      <c r="L535" s="15" cm="1">
        <f t="array" ref="L535">AVERAGE(ABS($J$3:J535))</f>
        <v>0.12833020637898687</v>
      </c>
      <c r="O535" s="13">
        <f t="shared" si="39"/>
        <v>0</v>
      </c>
      <c r="P535" s="14">
        <f t="shared" si="40"/>
        <v>0</v>
      </c>
    </row>
    <row r="536" spans="8:16" x14ac:dyDescent="0.25">
      <c r="H536" s="6" t="s">
        <v>27</v>
      </c>
      <c r="I536" s="13">
        <f t="shared" si="37"/>
        <v>0</v>
      </c>
      <c r="J536" s="14">
        <f t="shared" si="38"/>
        <v>0</v>
      </c>
      <c r="K536" s="15" cm="1">
        <f t="array" ref="K536">AVERAGE(ABS($I$3:I536))</f>
        <v>3.9569288389513106</v>
      </c>
      <c r="L536" s="15" cm="1">
        <f t="array" ref="L536">AVERAGE(ABS($J$3:J536))</f>
        <v>0.12808988764044946</v>
      </c>
      <c r="O536" s="13">
        <f t="shared" si="39"/>
        <v>0</v>
      </c>
      <c r="P536" s="14">
        <f t="shared" si="40"/>
        <v>0</v>
      </c>
    </row>
    <row r="537" spans="8:16" x14ac:dyDescent="0.25">
      <c r="H537" s="6" t="s">
        <v>27</v>
      </c>
      <c r="I537" s="13">
        <f t="shared" si="37"/>
        <v>0</v>
      </c>
      <c r="J537" s="14">
        <f t="shared" si="38"/>
        <v>0</v>
      </c>
      <c r="K537" s="15" cm="1">
        <f t="array" ref="K537">AVERAGE(ABS($I$3:I537))</f>
        <v>3.9495327102803737</v>
      </c>
      <c r="L537" s="15" cm="1">
        <f t="array" ref="L537">AVERAGE(ABS($J$3:J537))</f>
        <v>0.12785046728971963</v>
      </c>
      <c r="O537" s="13">
        <f t="shared" si="39"/>
        <v>0</v>
      </c>
      <c r="P537" s="14">
        <f t="shared" si="40"/>
        <v>0</v>
      </c>
    </row>
    <row r="538" spans="8:16" x14ac:dyDescent="0.25">
      <c r="H538" s="6" t="s">
        <v>27</v>
      </c>
      <c r="I538" s="13">
        <f t="shared" si="37"/>
        <v>0</v>
      </c>
      <c r="J538" s="14">
        <f t="shared" si="38"/>
        <v>0</v>
      </c>
      <c r="K538" s="15" cm="1">
        <f t="array" ref="K538">AVERAGE(ABS($I$3:I538))</f>
        <v>3.9421641791044775</v>
      </c>
      <c r="L538" s="15" cm="1">
        <f t="array" ref="L538">AVERAGE(ABS($J$3:J538))</f>
        <v>0.12761194029850748</v>
      </c>
      <c r="O538" s="13">
        <f t="shared" si="39"/>
        <v>0</v>
      </c>
      <c r="P538" s="14">
        <f t="shared" si="40"/>
        <v>0</v>
      </c>
    </row>
    <row r="539" spans="8:16" x14ac:dyDescent="0.25">
      <c r="H539" s="6" t="s">
        <v>27</v>
      </c>
      <c r="I539" s="13">
        <f t="shared" si="37"/>
        <v>0</v>
      </c>
      <c r="J539" s="14">
        <f t="shared" si="38"/>
        <v>0</v>
      </c>
      <c r="K539" s="15" cm="1">
        <f t="array" ref="K539">AVERAGE(ABS($I$3:I539))</f>
        <v>3.9348230912476723</v>
      </c>
      <c r="L539" s="15" cm="1">
        <f t="array" ref="L539">AVERAGE(ABS($J$3:J539))</f>
        <v>0.12737430167597766</v>
      </c>
      <c r="O539" s="13">
        <f t="shared" si="39"/>
        <v>0</v>
      </c>
      <c r="P539" s="14">
        <f t="shared" si="40"/>
        <v>0</v>
      </c>
    </row>
    <row r="540" spans="8:16" x14ac:dyDescent="0.25">
      <c r="H540" s="6" t="s">
        <v>27</v>
      </c>
      <c r="I540" s="13">
        <f t="shared" si="37"/>
        <v>0</v>
      </c>
      <c r="J540" s="14">
        <f t="shared" si="38"/>
        <v>0</v>
      </c>
      <c r="K540" s="15" cm="1">
        <f t="array" ref="K540">AVERAGE(ABS($I$3:I540))</f>
        <v>3.9275092936802976</v>
      </c>
      <c r="L540" s="15" cm="1">
        <f t="array" ref="L540">AVERAGE(ABS($J$3:J540))</f>
        <v>0.1271375464684015</v>
      </c>
      <c r="O540" s="13">
        <f t="shared" si="39"/>
        <v>0</v>
      </c>
      <c r="P540" s="14">
        <f t="shared" si="40"/>
        <v>0</v>
      </c>
    </row>
    <row r="541" spans="8:16" x14ac:dyDescent="0.25">
      <c r="H541" s="6" t="s">
        <v>27</v>
      </c>
      <c r="I541" s="13">
        <f t="shared" si="37"/>
        <v>0</v>
      </c>
      <c r="J541" s="14">
        <f t="shared" si="38"/>
        <v>0</v>
      </c>
      <c r="K541" s="15" cm="1">
        <f t="array" ref="K541">AVERAGE(ABS($I$3:I541))</f>
        <v>3.9202226345083488</v>
      </c>
      <c r="L541" s="15" cm="1">
        <f t="array" ref="L541">AVERAGE(ABS($J$3:J541))</f>
        <v>0.12690166975881262</v>
      </c>
      <c r="O541" s="13">
        <f t="shared" si="39"/>
        <v>0</v>
      </c>
      <c r="P541" s="14">
        <f t="shared" si="40"/>
        <v>0</v>
      </c>
    </row>
    <row r="542" spans="8:16" x14ac:dyDescent="0.25">
      <c r="H542" s="6" t="s">
        <v>27</v>
      </c>
      <c r="I542" s="13">
        <f t="shared" si="37"/>
        <v>0</v>
      </c>
      <c r="J542" s="14">
        <f t="shared" si="38"/>
        <v>0</v>
      </c>
      <c r="K542" s="15" cm="1">
        <f t="array" ref="K542">AVERAGE(ABS($I$3:I542))</f>
        <v>3.912962962962963</v>
      </c>
      <c r="L542" s="15" cm="1">
        <f t="array" ref="L542">AVERAGE(ABS($J$3:J542))</f>
        <v>0.12666666666666668</v>
      </c>
      <c r="O542" s="13">
        <f t="shared" si="39"/>
        <v>0</v>
      </c>
      <c r="P542" s="14">
        <f t="shared" si="40"/>
        <v>0</v>
      </c>
    </row>
    <row r="543" spans="8:16" x14ac:dyDescent="0.25">
      <c r="H543" s="6" t="s">
        <v>27</v>
      </c>
      <c r="I543" s="13">
        <f t="shared" si="37"/>
        <v>0</v>
      </c>
      <c r="J543" s="14">
        <f t="shared" si="38"/>
        <v>0</v>
      </c>
      <c r="K543" s="15" cm="1">
        <f t="array" ref="K543">AVERAGE(ABS($I$3:I543))</f>
        <v>3.9057301293900184</v>
      </c>
      <c r="L543" s="15" cm="1">
        <f t="array" ref="L543">AVERAGE(ABS($J$3:J543))</f>
        <v>0.12643253234750462</v>
      </c>
      <c r="O543" s="13">
        <f t="shared" si="39"/>
        <v>0</v>
      </c>
      <c r="P543" s="14">
        <f t="shared" si="40"/>
        <v>0</v>
      </c>
    </row>
    <row r="544" spans="8:16" x14ac:dyDescent="0.25">
      <c r="H544" s="6" t="s">
        <v>27</v>
      </c>
      <c r="I544" s="13">
        <f t="shared" si="37"/>
        <v>0</v>
      </c>
      <c r="J544" s="14">
        <f t="shared" si="38"/>
        <v>0</v>
      </c>
      <c r="K544" s="15" cm="1">
        <f t="array" ref="K544">AVERAGE(ABS($I$3:I544))</f>
        <v>3.8985239852398523</v>
      </c>
      <c r="L544" s="15" cm="1">
        <f t="array" ref="L544">AVERAGE(ABS($J$3:J544))</f>
        <v>0.12619926199261994</v>
      </c>
      <c r="O544" s="13">
        <f t="shared" si="39"/>
        <v>0</v>
      </c>
      <c r="P544" s="14">
        <f t="shared" si="40"/>
        <v>0</v>
      </c>
    </row>
    <row r="545" spans="8:16" x14ac:dyDescent="0.25">
      <c r="H545" s="6" t="s">
        <v>27</v>
      </c>
      <c r="I545" s="13">
        <f t="shared" si="37"/>
        <v>0</v>
      </c>
      <c r="J545" s="14">
        <f t="shared" si="38"/>
        <v>0</v>
      </c>
      <c r="K545" s="15" cm="1">
        <f t="array" ref="K545">AVERAGE(ABS($I$3:I545))</f>
        <v>3.8913443830570902</v>
      </c>
      <c r="L545" s="15" cm="1">
        <f t="array" ref="L545">AVERAGE(ABS($J$3:J545))</f>
        <v>0.1259668508287293</v>
      </c>
      <c r="O545" s="13">
        <f t="shared" si="39"/>
        <v>0</v>
      </c>
      <c r="P545" s="14">
        <f t="shared" si="40"/>
        <v>0</v>
      </c>
    </row>
    <row r="546" spans="8:16" x14ac:dyDescent="0.25">
      <c r="H546" s="6" t="s">
        <v>27</v>
      </c>
      <c r="I546" s="13">
        <f t="shared" si="37"/>
        <v>0</v>
      </c>
      <c r="J546" s="14">
        <f t="shared" si="38"/>
        <v>0</v>
      </c>
      <c r="K546" s="15" cm="1">
        <f t="array" ref="K546">AVERAGE(ABS($I$3:I546))</f>
        <v>3.8841911764705883</v>
      </c>
      <c r="L546" s="15" cm="1">
        <f t="array" ref="L546">AVERAGE(ABS($J$3:J546))</f>
        <v>0.12573529411764706</v>
      </c>
      <c r="O546" s="13">
        <f t="shared" si="39"/>
        <v>0</v>
      </c>
      <c r="P546" s="14">
        <f t="shared" si="40"/>
        <v>0</v>
      </c>
    </row>
    <row r="547" spans="8:16" x14ac:dyDescent="0.25">
      <c r="H547" s="6" t="s">
        <v>27</v>
      </c>
      <c r="I547" s="13">
        <f t="shared" si="37"/>
        <v>0</v>
      </c>
      <c r="J547" s="14">
        <f t="shared" si="38"/>
        <v>0</v>
      </c>
      <c r="K547" s="15" cm="1">
        <f t="array" ref="K547">AVERAGE(ABS($I$3:I547))</f>
        <v>3.8770642201834864</v>
      </c>
      <c r="L547" s="15" cm="1">
        <f t="array" ref="L547">AVERAGE(ABS($J$3:J547))</f>
        <v>0.12550458715596333</v>
      </c>
      <c r="O547" s="13">
        <f t="shared" si="39"/>
        <v>0</v>
      </c>
      <c r="P547" s="14">
        <f t="shared" si="40"/>
        <v>0</v>
      </c>
    </row>
    <row r="548" spans="8:16" x14ac:dyDescent="0.25">
      <c r="H548" s="6" t="s">
        <v>27</v>
      </c>
      <c r="I548" s="13">
        <f t="shared" si="37"/>
        <v>0</v>
      </c>
      <c r="J548" s="14">
        <f t="shared" si="38"/>
        <v>0</v>
      </c>
      <c r="K548" s="15" cm="1">
        <f t="array" ref="K548">AVERAGE(ABS($I$3:I548))</f>
        <v>3.86996336996337</v>
      </c>
      <c r="L548" s="15" cm="1">
        <f t="array" ref="L548">AVERAGE(ABS($J$3:J548))</f>
        <v>0.12527472527472527</v>
      </c>
      <c r="O548" s="13">
        <f t="shared" si="39"/>
        <v>0</v>
      </c>
      <c r="P548" s="14">
        <f t="shared" si="40"/>
        <v>0</v>
      </c>
    </row>
    <row r="549" spans="8:16" x14ac:dyDescent="0.25">
      <c r="H549" s="6" t="s">
        <v>27</v>
      </c>
      <c r="I549" s="13">
        <f t="shared" si="37"/>
        <v>0</v>
      </c>
      <c r="J549" s="14">
        <f t="shared" si="38"/>
        <v>0</v>
      </c>
      <c r="K549" s="15" cm="1">
        <f t="array" ref="K549">AVERAGE(ABS($I$3:I549))</f>
        <v>3.8628884826325409</v>
      </c>
      <c r="L549" s="15" cm="1">
        <f t="array" ref="L549">AVERAGE(ABS($J$3:J549))</f>
        <v>0.1250457038391225</v>
      </c>
      <c r="O549" s="13">
        <f t="shared" si="39"/>
        <v>0</v>
      </c>
      <c r="P549" s="14">
        <f t="shared" si="40"/>
        <v>0</v>
      </c>
    </row>
    <row r="550" spans="8:16" x14ac:dyDescent="0.25">
      <c r="H550" s="6" t="s">
        <v>27</v>
      </c>
      <c r="I550" s="13">
        <f t="shared" si="37"/>
        <v>0</v>
      </c>
      <c r="J550" s="14">
        <f t="shared" si="38"/>
        <v>0</v>
      </c>
      <c r="K550" s="15" cm="1">
        <f t="array" ref="K550">AVERAGE(ABS($I$3:I550))</f>
        <v>3.855839416058394</v>
      </c>
      <c r="L550" s="15" cm="1">
        <f t="array" ref="L550">AVERAGE(ABS($J$3:J550))</f>
        <v>0.12481751824817519</v>
      </c>
      <c r="O550" s="13">
        <f t="shared" si="39"/>
        <v>0</v>
      </c>
      <c r="P550" s="14">
        <f t="shared" si="40"/>
        <v>0</v>
      </c>
    </row>
    <row r="551" spans="8:16" x14ac:dyDescent="0.25">
      <c r="H551" s="6" t="s">
        <v>27</v>
      </c>
      <c r="I551" s="13">
        <f t="shared" si="37"/>
        <v>0</v>
      </c>
      <c r="J551" s="14">
        <f t="shared" si="38"/>
        <v>0</v>
      </c>
      <c r="K551" s="15" cm="1">
        <f t="array" ref="K551">AVERAGE(ABS($I$3:I551))</f>
        <v>3.8488160291438982</v>
      </c>
      <c r="L551" s="15" cm="1">
        <f t="array" ref="L551">AVERAGE(ABS($J$3:J551))</f>
        <v>0.12459016393442623</v>
      </c>
      <c r="O551" s="13">
        <f t="shared" si="39"/>
        <v>0</v>
      </c>
      <c r="P551" s="14">
        <f t="shared" si="40"/>
        <v>0</v>
      </c>
    </row>
    <row r="552" spans="8:16" x14ac:dyDescent="0.25">
      <c r="H552" s="6" t="s">
        <v>27</v>
      </c>
      <c r="I552" s="13">
        <f t="shared" si="37"/>
        <v>0</v>
      </c>
      <c r="J552" s="14">
        <f t="shared" si="38"/>
        <v>0</v>
      </c>
      <c r="K552" s="15" cm="1">
        <f t="array" ref="K552">AVERAGE(ABS($I$3:I552))</f>
        <v>3.8418181818181818</v>
      </c>
      <c r="L552" s="15" cm="1">
        <f t="array" ref="L552">AVERAGE(ABS($J$3:J552))</f>
        <v>0.12436363636363637</v>
      </c>
      <c r="O552" s="13">
        <f t="shared" si="39"/>
        <v>0</v>
      </c>
      <c r="P552" s="14">
        <f t="shared" si="40"/>
        <v>0</v>
      </c>
    </row>
    <row r="553" spans="8:16" x14ac:dyDescent="0.25">
      <c r="H553" s="6" t="s">
        <v>27</v>
      </c>
      <c r="I553" s="13">
        <f t="shared" si="37"/>
        <v>0</v>
      </c>
      <c r="J553" s="14">
        <f t="shared" si="38"/>
        <v>0</v>
      </c>
      <c r="K553" s="15" cm="1">
        <f t="array" ref="K553">AVERAGE(ABS($I$3:I553))</f>
        <v>3.8348457350272231</v>
      </c>
      <c r="L553" s="15" cm="1">
        <f t="array" ref="L553">AVERAGE(ABS($J$3:J553))</f>
        <v>0.12413793103448277</v>
      </c>
      <c r="O553" s="13">
        <f t="shared" si="39"/>
        <v>0</v>
      </c>
      <c r="P553" s="14">
        <f t="shared" si="40"/>
        <v>0</v>
      </c>
    </row>
    <row r="554" spans="8:16" x14ac:dyDescent="0.25">
      <c r="H554" s="6" t="s">
        <v>27</v>
      </c>
      <c r="I554" s="13">
        <f t="shared" si="37"/>
        <v>0</v>
      </c>
      <c r="J554" s="14">
        <f t="shared" si="38"/>
        <v>0</v>
      </c>
      <c r="K554" s="15" cm="1">
        <f t="array" ref="K554">AVERAGE(ABS($I$3:I554))</f>
        <v>3.8278985507246377</v>
      </c>
      <c r="L554" s="15" cm="1">
        <f t="array" ref="L554">AVERAGE(ABS($J$3:J554))</f>
        <v>0.12391304347826088</v>
      </c>
      <c r="O554" s="13">
        <f t="shared" si="39"/>
        <v>0</v>
      </c>
      <c r="P554" s="14">
        <f t="shared" si="40"/>
        <v>0</v>
      </c>
    </row>
    <row r="555" spans="8:16" x14ac:dyDescent="0.25">
      <c r="H555" s="6" t="s">
        <v>27</v>
      </c>
      <c r="I555" s="13">
        <f t="shared" si="37"/>
        <v>0</v>
      </c>
      <c r="J555" s="14">
        <f t="shared" si="38"/>
        <v>0</v>
      </c>
      <c r="K555" s="15" cm="1">
        <f t="array" ref="K555">AVERAGE(ABS($I$3:I555))</f>
        <v>3.8209764918625679</v>
      </c>
      <c r="L555" s="15" cm="1">
        <f t="array" ref="L555">AVERAGE(ABS($J$3:J555))</f>
        <v>0.12368896925858952</v>
      </c>
      <c r="O555" s="13">
        <f t="shared" si="39"/>
        <v>0</v>
      </c>
      <c r="P555" s="14">
        <f>(N555-F555)</f>
        <v>0</v>
      </c>
    </row>
  </sheetData>
  <mergeCells count="6">
    <mergeCell ref="R1:S1"/>
    <mergeCell ref="V1:W1"/>
    <mergeCell ref="Z1:AA1"/>
    <mergeCell ref="AD1:AE1"/>
    <mergeCell ref="AG1:AH1"/>
    <mergeCell ref="AI1:AJ1"/>
  </mergeCells>
  <conditionalFormatting sqref="I2:J5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S2 O2:P55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W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AA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E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Qing</dc:creator>
  <cp:lastModifiedBy>Michelle Qing</cp:lastModifiedBy>
  <dcterms:created xsi:type="dcterms:W3CDTF">2026-04-23T20:20:09Z</dcterms:created>
  <dcterms:modified xsi:type="dcterms:W3CDTF">2026-04-23T20:20:21Z</dcterms:modified>
</cp:coreProperties>
</file>