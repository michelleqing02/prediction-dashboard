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duelgroup-my.sharepoint.com/personal/michelle_qing_fanduel_com/Documents/"/>
    </mc:Choice>
  </mc:AlternateContent>
  <xr:revisionPtr revIDLastSave="0" documentId="8_{C2A69549-BD92-4026-9FDA-52D6D6DEA21B}" xr6:coauthVersionLast="47" xr6:coauthVersionMax="47" xr10:uidLastSave="{00000000-0000-0000-0000-000000000000}"/>
  <bookViews>
    <workbookView xWindow="-53145" yWindow="1905" windowWidth="30105" windowHeight="15345" activeTab="1" xr2:uid="{D79727F3-8279-43AF-A9C0-7BCA69497548}"/>
  </bookViews>
  <sheets>
    <sheet name="2026 Team Ratings" sheetId="1" r:id="rId1"/>
    <sheet name="2026" sheetId="2" r:id="rId2"/>
  </sheets>
  <externalReferences>
    <externalReference r:id="rId3"/>
  </externalReferences>
  <definedNames>
    <definedName name="listsTeanNameFull">[1]Lists!$A$2:$A$14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2" l="1"/>
  <c r="L3" i="2"/>
  <c r="N3" i="2"/>
  <c r="AD3" i="2"/>
  <c r="AF3" i="2"/>
  <c r="AH3" i="2"/>
  <c r="J4" i="2"/>
  <c r="L4" i="2"/>
  <c r="N4" i="2"/>
  <c r="AD4" i="2"/>
  <c r="AF4" i="2"/>
  <c r="AH4" i="2"/>
  <c r="J5" i="2"/>
  <c r="L5" i="2"/>
  <c r="N5" i="2"/>
  <c r="AD5" i="2"/>
  <c r="AF5" i="2"/>
  <c r="AH5" i="2"/>
  <c r="J6" i="2"/>
  <c r="L6" i="2"/>
  <c r="N6" i="2"/>
  <c r="AD6" i="2"/>
  <c r="AF6" i="2"/>
  <c r="AH6" i="2"/>
  <c r="J7" i="2"/>
  <c r="L7" i="2"/>
  <c r="N7" i="2"/>
  <c r="AD7" i="2"/>
  <c r="AF7" i="2"/>
  <c r="AH7" i="2"/>
  <c r="J8" i="2"/>
  <c r="L8" i="2"/>
  <c r="N8" i="2"/>
  <c r="AD8" i="2"/>
  <c r="AF8" i="2"/>
  <c r="AH8" i="2"/>
  <c r="J9" i="2"/>
  <c r="L9" i="2"/>
  <c r="N9" i="2"/>
  <c r="AD9" i="2"/>
  <c r="AF9" i="2"/>
  <c r="AH9" i="2"/>
  <c r="J10" i="2"/>
  <c r="L10" i="2"/>
  <c r="N10" i="2"/>
  <c r="AD10" i="2"/>
  <c r="AF10" i="2"/>
  <c r="AH10" i="2"/>
  <c r="J11" i="2"/>
  <c r="L11" i="2"/>
  <c r="N11" i="2"/>
  <c r="AD11" i="2"/>
  <c r="AF11" i="2"/>
  <c r="AH11" i="2"/>
  <c r="J12" i="2"/>
  <c r="L12" i="2"/>
  <c r="N12" i="2"/>
  <c r="AD12" i="2"/>
  <c r="AF12" i="2"/>
  <c r="AH12" i="2"/>
  <c r="J13" i="2"/>
  <c r="L13" i="2"/>
  <c r="N13" i="2"/>
  <c r="AD13" i="2"/>
  <c r="AF13" i="2"/>
  <c r="AH13" i="2"/>
  <c r="J14" i="2"/>
  <c r="L14" i="2"/>
  <c r="N14" i="2"/>
  <c r="AD14" i="2"/>
  <c r="AF14" i="2"/>
  <c r="AH14" i="2"/>
  <c r="J15" i="2"/>
  <c r="L15" i="2"/>
  <c r="N15" i="2"/>
  <c r="AD15" i="2"/>
  <c r="AF15" i="2"/>
  <c r="AH15" i="2"/>
  <c r="J16" i="2"/>
  <c r="L16" i="2"/>
  <c r="N16" i="2"/>
  <c r="AD16" i="2"/>
  <c r="AF16" i="2"/>
  <c r="AH16" i="2"/>
  <c r="J17" i="2"/>
  <c r="L17" i="2"/>
  <c r="N17" i="2"/>
  <c r="AD17" i="2"/>
  <c r="AF17" i="2"/>
  <c r="AH17" i="2"/>
  <c r="B18" i="2"/>
  <c r="C18" i="2"/>
  <c r="E18" i="2"/>
  <c r="N18" i="2" s="1"/>
  <c r="G18" i="2"/>
  <c r="I18" i="2"/>
  <c r="J18" i="2" s="1"/>
  <c r="K18" i="2"/>
  <c r="L18" i="2"/>
  <c r="P18" i="2"/>
  <c r="V18" i="2"/>
  <c r="W18" i="2"/>
  <c r="Y18" i="2"/>
  <c r="AA18" i="2"/>
  <c r="AC18" i="2"/>
  <c r="AD18" i="2" s="1"/>
  <c r="AE18" i="2"/>
  <c r="AH18" i="2" s="1"/>
  <c r="AF18" i="2"/>
  <c r="AJ18" i="2"/>
  <c r="F19" i="2"/>
  <c r="L19" i="2" s="1"/>
  <c r="C37" i="2" s="1"/>
  <c r="H19" i="2"/>
  <c r="K19" i="2"/>
  <c r="N19" i="2"/>
  <c r="Z19" i="2"/>
  <c r="AB19" i="2"/>
  <c r="AE19" i="2"/>
  <c r="AH19" i="2" s="1"/>
  <c r="AF19" i="2"/>
  <c r="C22" i="2"/>
  <c r="C24" i="2" s="1"/>
  <c r="D22" i="2"/>
  <c r="E22" i="2"/>
  <c r="G22" i="2"/>
  <c r="I22" i="2"/>
  <c r="J22" i="2"/>
  <c r="J24" i="2" s="1"/>
  <c r="K25" i="2" s="1"/>
  <c r="K22" i="2"/>
  <c r="L22" i="2"/>
  <c r="W22" i="2"/>
  <c r="X22" i="2"/>
  <c r="Y22" i="2"/>
  <c r="AA22" i="2"/>
  <c r="AC22" i="2"/>
  <c r="AD22" i="2"/>
  <c r="AE22" i="2"/>
  <c r="AF22" i="2"/>
  <c r="C23" i="2"/>
  <c r="D23" i="2"/>
  <c r="D24" i="2" s="1"/>
  <c r="F24" i="2" s="1"/>
  <c r="I25" i="2" s="1"/>
  <c r="E23" i="2"/>
  <c r="G23" i="2"/>
  <c r="I23" i="2"/>
  <c r="J23" i="2"/>
  <c r="K23" i="2"/>
  <c r="L23" i="2"/>
  <c r="W23" i="2"/>
  <c r="X23" i="2"/>
  <c r="Y23" i="2"/>
  <c r="AA23" i="2"/>
  <c r="AC23" i="2"/>
  <c r="AD23" i="2"/>
  <c r="AE23" i="2"/>
  <c r="AF23" i="2"/>
  <c r="E24" i="2"/>
  <c r="G24" i="2"/>
  <c r="I24" i="2"/>
  <c r="K24" i="2"/>
  <c r="L24" i="2"/>
  <c r="W24" i="2"/>
  <c r="X24" i="2"/>
  <c r="Y24" i="2"/>
  <c r="AA24" i="2"/>
  <c r="AC24" i="2"/>
  <c r="AD24" i="2"/>
  <c r="AE24" i="2"/>
  <c r="AF24" i="2"/>
  <c r="E25" i="2"/>
  <c r="Y25" i="2"/>
  <c r="Z24" i="2" s="1"/>
  <c r="AC25" i="2" s="1"/>
  <c r="AD25" i="2"/>
  <c r="AE25" i="2"/>
  <c r="D28" i="2"/>
  <c r="G28" i="2"/>
  <c r="H28" i="2"/>
  <c r="X28" i="2"/>
  <c r="AA28" i="2"/>
  <c r="AB28" i="2"/>
  <c r="D29" i="2"/>
  <c r="I29" i="2" s="1"/>
  <c r="H29" i="2"/>
  <c r="X29" i="2"/>
  <c r="AC29" i="2" s="1"/>
  <c r="AB29" i="2"/>
  <c r="D30" i="2"/>
  <c r="H30" i="2"/>
  <c r="X30" i="2"/>
  <c r="AB30" i="2"/>
  <c r="D31" i="2"/>
  <c r="G31" i="2"/>
  <c r="H31" i="2"/>
  <c r="I31" i="2"/>
  <c r="X31" i="2"/>
  <c r="AA31" i="2"/>
  <c r="AB31" i="2"/>
  <c r="AC31" i="2"/>
  <c r="C35" i="2"/>
  <c r="D35" i="2"/>
  <c r="D37" i="2" s="1"/>
  <c r="E35" i="2"/>
  <c r="F35" i="2"/>
  <c r="G35" i="2"/>
  <c r="H35" i="2" s="1"/>
  <c r="W35" i="2"/>
  <c r="W37" i="2" s="1"/>
  <c r="X35" i="2"/>
  <c r="X37" i="2" s="1"/>
  <c r="Y35" i="2"/>
  <c r="Z35" i="2"/>
  <c r="AA35" i="2"/>
  <c r="AB35" i="2" s="1"/>
  <c r="C36" i="2"/>
  <c r="D36" i="2"/>
  <c r="E36" i="2"/>
  <c r="F36" i="2"/>
  <c r="G36" i="2"/>
  <c r="H36" i="2" s="1"/>
  <c r="W36" i="2"/>
  <c r="X36" i="2"/>
  <c r="Y36" i="2"/>
  <c r="Z36" i="2"/>
  <c r="Z37" i="2" s="1"/>
  <c r="AA36" i="2"/>
  <c r="AB36" i="2" s="1"/>
  <c r="E37" i="2"/>
  <c r="Y37" i="2"/>
  <c r="N38" i="2"/>
  <c r="O38" i="2"/>
  <c r="P38" i="2"/>
  <c r="N39" i="2"/>
  <c r="P39" i="2" s="1"/>
  <c r="O39" i="2"/>
  <c r="J42" i="2"/>
  <c r="K42" i="2"/>
  <c r="L42" i="2"/>
  <c r="M42" i="2"/>
  <c r="N42" i="2"/>
  <c r="J43" i="2"/>
  <c r="K43" i="2"/>
  <c r="L43" i="2"/>
  <c r="M43" i="2"/>
  <c r="N43" i="2"/>
  <c r="J44" i="2"/>
  <c r="K44" i="2"/>
  <c r="L44" i="2"/>
  <c r="M44" i="2"/>
  <c r="N44" i="2"/>
  <c r="J45" i="2"/>
  <c r="K45" i="2"/>
  <c r="L45" i="2"/>
  <c r="M45" i="2"/>
  <c r="N45" i="2"/>
  <c r="J46" i="2"/>
  <c r="K46" i="2"/>
  <c r="L46" i="2"/>
  <c r="M46" i="2"/>
  <c r="N46" i="2"/>
  <c r="J47" i="2"/>
  <c r="K47" i="2"/>
  <c r="L47" i="2"/>
  <c r="M47" i="2"/>
  <c r="N47" i="2"/>
  <c r="AH331" i="1"/>
  <c r="AE331" i="1"/>
  <c r="AA331" i="1"/>
  <c r="Y331" i="1"/>
  <c r="X331" i="1"/>
  <c r="AC331" i="1" s="1"/>
  <c r="AH324" i="1"/>
  <c r="AE324" i="1"/>
  <c r="AA324" i="1"/>
  <c r="Y324" i="1"/>
  <c r="X324" i="1"/>
  <c r="AC324" i="1" s="1"/>
  <c r="AH323" i="1"/>
  <c r="AE323" i="1"/>
  <c r="AD323" i="1"/>
  <c r="AA323" i="1"/>
  <c r="Y323" i="1"/>
  <c r="AB323" i="1" s="1"/>
  <c r="X323" i="1"/>
  <c r="AC323" i="1" s="1"/>
  <c r="AH322" i="1"/>
  <c r="AE322" i="1"/>
  <c r="AA322" i="1"/>
  <c r="Y322" i="1"/>
  <c r="X322" i="1"/>
  <c r="AC322" i="1" s="1"/>
  <c r="AH321" i="1"/>
  <c r="AE321" i="1"/>
  <c r="AA321" i="1"/>
  <c r="Y321" i="1"/>
  <c r="X321" i="1"/>
  <c r="AC321" i="1" s="1"/>
  <c r="AH320" i="1"/>
  <c r="AE320" i="1"/>
  <c r="AA320" i="1"/>
  <c r="Y320" i="1"/>
  <c r="X320" i="1"/>
  <c r="AC320" i="1" s="1"/>
  <c r="AH319" i="1"/>
  <c r="AE319" i="1"/>
  <c r="AA319" i="1"/>
  <c r="Y319" i="1"/>
  <c r="X319" i="1"/>
  <c r="AC319" i="1" s="1"/>
  <c r="AH318" i="1"/>
  <c r="AE318" i="1"/>
  <c r="AA318" i="1"/>
  <c r="Y318" i="1"/>
  <c r="X318" i="1"/>
  <c r="AC318" i="1" s="1"/>
  <c r="AH317" i="1"/>
  <c r="AE317" i="1"/>
  <c r="AB317" i="1"/>
  <c r="AA317" i="1"/>
  <c r="Y317" i="1"/>
  <c r="AD317" i="1" s="1"/>
  <c r="X317" i="1"/>
  <c r="AC317" i="1" s="1"/>
  <c r="AH316" i="1"/>
  <c r="AE316" i="1"/>
  <c r="AA316" i="1"/>
  <c r="Y316" i="1"/>
  <c r="X316" i="1"/>
  <c r="AC316" i="1" s="1"/>
  <c r="AH315" i="1"/>
  <c r="AE315" i="1"/>
  <c r="AA315" i="1"/>
  <c r="Y315" i="1"/>
  <c r="X315" i="1"/>
  <c r="AC315" i="1" s="1"/>
  <c r="AH314" i="1"/>
  <c r="AE314" i="1"/>
  <c r="AA314" i="1"/>
  <c r="Y314" i="1"/>
  <c r="X314" i="1"/>
  <c r="AC314" i="1" s="1"/>
  <c r="AH313" i="1"/>
  <c r="AE313" i="1"/>
  <c r="AA313" i="1"/>
  <c r="Y313" i="1"/>
  <c r="X313" i="1"/>
  <c r="AC313" i="1" s="1"/>
  <c r="AH312" i="1"/>
  <c r="AE312" i="1"/>
  <c r="AA312" i="1"/>
  <c r="Y312" i="1"/>
  <c r="X312" i="1"/>
  <c r="AC312" i="1" s="1"/>
  <c r="AH311" i="1"/>
  <c r="AE311" i="1"/>
  <c r="AA311" i="1"/>
  <c r="Y311" i="1"/>
  <c r="X311" i="1"/>
  <c r="AC311" i="1" s="1"/>
  <c r="AH310" i="1"/>
  <c r="AE310" i="1"/>
  <c r="AA310" i="1"/>
  <c r="Y310" i="1"/>
  <c r="X310" i="1"/>
  <c r="AC310" i="1" s="1"/>
  <c r="AH309" i="1"/>
  <c r="AE309" i="1"/>
  <c r="AA309" i="1"/>
  <c r="Y309" i="1"/>
  <c r="X309" i="1"/>
  <c r="AC309" i="1" s="1"/>
  <c r="AH308" i="1"/>
  <c r="AE308" i="1"/>
  <c r="AA308" i="1"/>
  <c r="Y308" i="1"/>
  <c r="X308" i="1"/>
  <c r="AC308" i="1" s="1"/>
  <c r="AH307" i="1"/>
  <c r="AE307" i="1"/>
  <c r="AA307" i="1"/>
  <c r="Y307" i="1"/>
  <c r="X307" i="1"/>
  <c r="AC307" i="1" s="1"/>
  <c r="AH303" i="1"/>
  <c r="AE303" i="1"/>
  <c r="AA303" i="1"/>
  <c r="Y303" i="1"/>
  <c r="X303" i="1"/>
  <c r="AC303" i="1" s="1"/>
  <c r="AH302" i="1"/>
  <c r="AE302" i="1"/>
  <c r="AA302" i="1"/>
  <c r="Y302" i="1"/>
  <c r="X302" i="1"/>
  <c r="AC302" i="1" s="1"/>
  <c r="AH301" i="1"/>
  <c r="AE301" i="1"/>
  <c r="AA301" i="1"/>
  <c r="Y301" i="1"/>
  <c r="X301" i="1"/>
  <c r="AC301" i="1" s="1"/>
  <c r="AH300" i="1"/>
  <c r="AE300" i="1"/>
  <c r="AA300" i="1"/>
  <c r="Y300" i="1"/>
  <c r="X300" i="1"/>
  <c r="AC300" i="1" s="1"/>
  <c r="AH299" i="1"/>
  <c r="AE299" i="1"/>
  <c r="AA299" i="1"/>
  <c r="Y299" i="1"/>
  <c r="X299" i="1"/>
  <c r="AC299" i="1" s="1"/>
  <c r="AH298" i="1"/>
  <c r="AE298" i="1"/>
  <c r="AA298" i="1"/>
  <c r="Y298" i="1"/>
  <c r="X298" i="1"/>
  <c r="AC298" i="1" s="1"/>
  <c r="AH297" i="1"/>
  <c r="AE297" i="1"/>
  <c r="AA297" i="1"/>
  <c r="Y297" i="1"/>
  <c r="X297" i="1"/>
  <c r="AC297" i="1" s="1"/>
  <c r="AH296" i="1"/>
  <c r="AE296" i="1"/>
  <c r="AA296" i="1"/>
  <c r="Y296" i="1"/>
  <c r="X296" i="1"/>
  <c r="AC296" i="1" s="1"/>
  <c r="AH295" i="1"/>
  <c r="AE295" i="1"/>
  <c r="AA295" i="1"/>
  <c r="Y295" i="1"/>
  <c r="X295" i="1"/>
  <c r="AC295" i="1" s="1"/>
  <c r="AH294" i="1"/>
  <c r="AE294" i="1"/>
  <c r="AA294" i="1"/>
  <c r="Y294" i="1"/>
  <c r="X294" i="1"/>
  <c r="AC294" i="1" s="1"/>
  <c r="AH293" i="1"/>
  <c r="AE293" i="1"/>
  <c r="AA293" i="1"/>
  <c r="Y293" i="1"/>
  <c r="X293" i="1"/>
  <c r="AC293" i="1" s="1"/>
  <c r="AH292" i="1"/>
  <c r="AE292" i="1"/>
  <c r="AA292" i="1"/>
  <c r="Y292" i="1"/>
  <c r="X292" i="1"/>
  <c r="AC292" i="1" s="1"/>
  <c r="AH291" i="1"/>
  <c r="AE291" i="1"/>
  <c r="AA291" i="1"/>
  <c r="Y291" i="1"/>
  <c r="X291" i="1"/>
  <c r="AC291" i="1" s="1"/>
  <c r="AH290" i="1"/>
  <c r="AE290" i="1"/>
  <c r="AA290" i="1"/>
  <c r="Y290" i="1"/>
  <c r="X290" i="1"/>
  <c r="AC290" i="1" s="1"/>
  <c r="AH289" i="1"/>
  <c r="AE289" i="1"/>
  <c r="AA289" i="1"/>
  <c r="Y289" i="1"/>
  <c r="X289" i="1"/>
  <c r="AC289" i="1" s="1"/>
  <c r="AH288" i="1"/>
  <c r="AE288" i="1"/>
  <c r="AA288" i="1"/>
  <c r="Y288" i="1"/>
  <c r="X288" i="1"/>
  <c r="AC288" i="1" s="1"/>
  <c r="AH287" i="1"/>
  <c r="AE287" i="1"/>
  <c r="AB287" i="1"/>
  <c r="AA287" i="1"/>
  <c r="Y287" i="1"/>
  <c r="AD287" i="1" s="1"/>
  <c r="X287" i="1"/>
  <c r="AC287" i="1" s="1"/>
  <c r="AH286" i="1"/>
  <c r="AE286" i="1"/>
  <c r="AA286" i="1"/>
  <c r="Y286" i="1"/>
  <c r="X286" i="1"/>
  <c r="AC286" i="1" s="1"/>
  <c r="AH285" i="1"/>
  <c r="AE285" i="1"/>
  <c r="AA285" i="1"/>
  <c r="Y285" i="1"/>
  <c r="X285" i="1"/>
  <c r="AC285" i="1" s="1"/>
  <c r="AH284" i="1"/>
  <c r="AE284" i="1"/>
  <c r="AA284" i="1"/>
  <c r="Y284" i="1"/>
  <c r="X284" i="1"/>
  <c r="AC284" i="1" s="1"/>
  <c r="AH280" i="1"/>
  <c r="AE280" i="1"/>
  <c r="AB280" i="1"/>
  <c r="AA280" i="1"/>
  <c r="AI280" i="1" s="1"/>
  <c r="AJ280" i="1" s="1"/>
  <c r="AK280" i="1" s="1"/>
  <c r="Y280" i="1"/>
  <c r="AD280" i="1" s="1"/>
  <c r="X280" i="1"/>
  <c r="AC280" i="1" s="1"/>
  <c r="AH279" i="1"/>
  <c r="AE279" i="1"/>
  <c r="AA279" i="1"/>
  <c r="Y279" i="1"/>
  <c r="X279" i="1"/>
  <c r="AC279" i="1" s="1"/>
  <c r="AH278" i="1"/>
  <c r="AE278" i="1"/>
  <c r="AA278" i="1"/>
  <c r="Y278" i="1"/>
  <c r="X278" i="1"/>
  <c r="AC278" i="1" s="1"/>
  <c r="AH277" i="1"/>
  <c r="AE277" i="1"/>
  <c r="AA277" i="1"/>
  <c r="Y277" i="1"/>
  <c r="X277" i="1"/>
  <c r="AC277" i="1" s="1"/>
  <c r="AH276" i="1"/>
  <c r="AE276" i="1"/>
  <c r="AA276" i="1"/>
  <c r="Y276" i="1"/>
  <c r="X276" i="1"/>
  <c r="AC276" i="1" s="1"/>
  <c r="AH275" i="1"/>
  <c r="AE275" i="1"/>
  <c r="AA275" i="1"/>
  <c r="Y275" i="1"/>
  <c r="X275" i="1"/>
  <c r="AC275" i="1" s="1"/>
  <c r="AH274" i="1"/>
  <c r="AE274" i="1"/>
  <c r="AA274" i="1"/>
  <c r="Y274" i="1"/>
  <c r="X274" i="1"/>
  <c r="AC274" i="1" s="1"/>
  <c r="AH273" i="1"/>
  <c r="AE273" i="1"/>
  <c r="AA273" i="1"/>
  <c r="Y273" i="1"/>
  <c r="X273" i="1"/>
  <c r="AC273" i="1" s="1"/>
  <c r="AH272" i="1"/>
  <c r="AE272" i="1"/>
  <c r="AA272" i="1"/>
  <c r="Y272" i="1"/>
  <c r="X272" i="1"/>
  <c r="AC272" i="1" s="1"/>
  <c r="AH271" i="1"/>
  <c r="AE271" i="1"/>
  <c r="AA271" i="1"/>
  <c r="Y271" i="1"/>
  <c r="X271" i="1"/>
  <c r="AC271" i="1" s="1"/>
  <c r="AH270" i="1"/>
  <c r="AE270" i="1"/>
  <c r="AA270" i="1"/>
  <c r="Y270" i="1"/>
  <c r="X270" i="1"/>
  <c r="AC270" i="1" s="1"/>
  <c r="AH269" i="1"/>
  <c r="AE269" i="1"/>
  <c r="AA269" i="1"/>
  <c r="Y269" i="1"/>
  <c r="X269" i="1"/>
  <c r="AC269" i="1" s="1"/>
  <c r="AH268" i="1"/>
  <c r="AE268" i="1"/>
  <c r="AA268" i="1"/>
  <c r="Y268" i="1"/>
  <c r="X268" i="1"/>
  <c r="AC268" i="1" s="1"/>
  <c r="AH267" i="1"/>
  <c r="AE267" i="1"/>
  <c r="AA267" i="1"/>
  <c r="Y267" i="1"/>
  <c r="X267" i="1"/>
  <c r="AC267" i="1" s="1"/>
  <c r="AH266" i="1"/>
  <c r="AE266" i="1"/>
  <c r="AA266" i="1"/>
  <c r="Y266" i="1"/>
  <c r="X266" i="1"/>
  <c r="AC266" i="1" s="1"/>
  <c r="AH265" i="1"/>
  <c r="AE265" i="1"/>
  <c r="AA265" i="1"/>
  <c r="Y265" i="1"/>
  <c r="X265" i="1"/>
  <c r="AC265" i="1" s="1"/>
  <c r="AH264" i="1"/>
  <c r="AE264" i="1"/>
  <c r="AA264" i="1"/>
  <c r="Y264" i="1"/>
  <c r="X264" i="1"/>
  <c r="AC264" i="1" s="1"/>
  <c r="AH263" i="1"/>
  <c r="AE263" i="1"/>
  <c r="AD263" i="1"/>
  <c r="AC263" i="1"/>
  <c r="AB263" i="1"/>
  <c r="AA263" i="1"/>
  <c r="AI263" i="1" s="1"/>
  <c r="AJ263" i="1" s="1"/>
  <c r="AK263" i="1" s="1"/>
  <c r="Y263" i="1"/>
  <c r="X263" i="1"/>
  <c r="AH262" i="1"/>
  <c r="AE262" i="1"/>
  <c r="AA262" i="1"/>
  <c r="Y262" i="1"/>
  <c r="X262" i="1"/>
  <c r="AC262" i="1" s="1"/>
  <c r="AH258" i="1"/>
  <c r="AE258" i="1"/>
  <c r="AA258" i="1"/>
  <c r="Y258" i="1"/>
  <c r="X258" i="1"/>
  <c r="AC258" i="1" s="1"/>
  <c r="AH257" i="1"/>
  <c r="AE257" i="1"/>
  <c r="AA257" i="1"/>
  <c r="Y257" i="1"/>
  <c r="X257" i="1"/>
  <c r="AC257" i="1" s="1"/>
  <c r="AH256" i="1"/>
  <c r="AE256" i="1"/>
  <c r="AA256" i="1"/>
  <c r="Y256" i="1"/>
  <c r="X256" i="1"/>
  <c r="AC256" i="1" s="1"/>
  <c r="AH255" i="1"/>
  <c r="AE255" i="1"/>
  <c r="AA255" i="1"/>
  <c r="Y255" i="1"/>
  <c r="X255" i="1"/>
  <c r="AC255" i="1" s="1"/>
  <c r="AH254" i="1"/>
  <c r="AE254" i="1"/>
  <c r="AA254" i="1"/>
  <c r="Y254" i="1"/>
  <c r="X254" i="1"/>
  <c r="AC254" i="1" s="1"/>
  <c r="AH253" i="1"/>
  <c r="AE253" i="1"/>
  <c r="AB253" i="1"/>
  <c r="AA253" i="1"/>
  <c r="Y253" i="1"/>
  <c r="AD253" i="1" s="1"/>
  <c r="X253" i="1"/>
  <c r="AC253" i="1" s="1"/>
  <c r="AH252" i="1"/>
  <c r="AE252" i="1"/>
  <c r="AA252" i="1"/>
  <c r="Y252" i="1"/>
  <c r="X252" i="1"/>
  <c r="AC252" i="1" s="1"/>
  <c r="AH251" i="1"/>
  <c r="AE251" i="1"/>
  <c r="AA251" i="1"/>
  <c r="Y251" i="1"/>
  <c r="X251" i="1"/>
  <c r="AC251" i="1" s="1"/>
  <c r="AH250" i="1"/>
  <c r="AF250" i="1"/>
  <c r="AG250" i="1" s="1"/>
  <c r="AE250" i="1"/>
  <c r="AD250" i="1"/>
  <c r="AC250" i="1"/>
  <c r="AB250" i="1"/>
  <c r="AA250" i="1"/>
  <c r="Z250" i="1"/>
  <c r="AI250" i="1" s="1"/>
  <c r="AJ250" i="1" s="1"/>
  <c r="AK250" i="1" s="1"/>
  <c r="Y250" i="1"/>
  <c r="X250" i="1"/>
  <c r="AH249" i="1"/>
  <c r="AE249" i="1"/>
  <c r="AA249" i="1"/>
  <c r="Y249" i="1"/>
  <c r="X249" i="1"/>
  <c r="AC249" i="1" s="1"/>
  <c r="AH248" i="1"/>
  <c r="AE248" i="1"/>
  <c r="AB248" i="1"/>
  <c r="AA248" i="1"/>
  <c r="Y248" i="1"/>
  <c r="AD248" i="1" s="1"/>
  <c r="X248" i="1"/>
  <c r="AC248" i="1" s="1"/>
  <c r="AH247" i="1"/>
  <c r="AE247" i="1"/>
  <c r="AA247" i="1"/>
  <c r="Y247" i="1"/>
  <c r="X247" i="1"/>
  <c r="AC247" i="1" s="1"/>
  <c r="AH246" i="1"/>
  <c r="AF246" i="1"/>
  <c r="AG246" i="1" s="1"/>
  <c r="AE246" i="1"/>
  <c r="AD246" i="1"/>
  <c r="AC246" i="1"/>
  <c r="AB246" i="1"/>
  <c r="AA246" i="1"/>
  <c r="Z246" i="1"/>
  <c r="AI246" i="1" s="1"/>
  <c r="AJ246" i="1" s="1"/>
  <c r="AK246" i="1" s="1"/>
  <c r="Y246" i="1"/>
  <c r="X246" i="1"/>
  <c r="AH245" i="1"/>
  <c r="AE245" i="1"/>
  <c r="AA245" i="1"/>
  <c r="Y245" i="1"/>
  <c r="X245" i="1"/>
  <c r="AC245" i="1" s="1"/>
  <c r="AH244" i="1"/>
  <c r="AF244" i="1"/>
  <c r="AG244" i="1" s="1"/>
  <c r="AE244" i="1"/>
  <c r="AD244" i="1"/>
  <c r="AC244" i="1"/>
  <c r="AB244" i="1"/>
  <c r="AA244" i="1"/>
  <c r="Z244" i="1"/>
  <c r="AI244" i="1" s="1"/>
  <c r="AJ244" i="1" s="1"/>
  <c r="AK244" i="1" s="1"/>
  <c r="Y244" i="1"/>
  <c r="X244" i="1"/>
  <c r="AH243" i="1"/>
  <c r="AF243" i="1"/>
  <c r="AG243" i="1" s="1"/>
  <c r="AE243" i="1"/>
  <c r="AD243" i="1"/>
  <c r="AC243" i="1"/>
  <c r="AB243" i="1"/>
  <c r="AA243" i="1"/>
  <c r="Z243" i="1"/>
  <c r="AI243" i="1" s="1"/>
  <c r="AJ243" i="1" s="1"/>
  <c r="AK243" i="1" s="1"/>
  <c r="Y243" i="1"/>
  <c r="X243" i="1"/>
  <c r="AH242" i="1"/>
  <c r="AF242" i="1"/>
  <c r="AG242" i="1" s="1"/>
  <c r="AE242" i="1"/>
  <c r="AD242" i="1"/>
  <c r="AC242" i="1"/>
  <c r="AB242" i="1"/>
  <c r="AA242" i="1"/>
  <c r="Z242" i="1"/>
  <c r="AI242" i="1" s="1"/>
  <c r="AJ242" i="1" s="1"/>
  <c r="AK242" i="1" s="1"/>
  <c r="Y242" i="1"/>
  <c r="X242" i="1"/>
  <c r="AH241" i="1"/>
  <c r="AF241" i="1"/>
  <c r="AG241" i="1" s="1"/>
  <c r="AE241" i="1"/>
  <c r="AD241" i="1"/>
  <c r="AC241" i="1"/>
  <c r="AB241" i="1"/>
  <c r="AA241" i="1"/>
  <c r="Z241" i="1"/>
  <c r="AI241" i="1" s="1"/>
  <c r="AJ241" i="1" s="1"/>
  <c r="AK241" i="1" s="1"/>
  <c r="Y241" i="1"/>
  <c r="X241" i="1"/>
  <c r="AH240" i="1"/>
  <c r="AF240" i="1"/>
  <c r="AG240" i="1" s="1"/>
  <c r="AE240" i="1"/>
  <c r="AD240" i="1"/>
  <c r="AC240" i="1"/>
  <c r="AB240" i="1"/>
  <c r="AA240" i="1"/>
  <c r="Z240" i="1"/>
  <c r="AI240" i="1" s="1"/>
  <c r="AJ240" i="1" s="1"/>
  <c r="AK240" i="1" s="1"/>
  <c r="Y240" i="1"/>
  <c r="X240" i="1"/>
  <c r="AH239" i="1"/>
  <c r="AF239" i="1"/>
  <c r="AG239" i="1" s="1"/>
  <c r="AE239" i="1"/>
  <c r="AD239" i="1"/>
  <c r="AC239" i="1"/>
  <c r="AB239" i="1"/>
  <c r="AA239" i="1"/>
  <c r="Z239" i="1"/>
  <c r="AI239" i="1" s="1"/>
  <c r="AJ239" i="1" s="1"/>
  <c r="AK239" i="1" s="1"/>
  <c r="Y239" i="1"/>
  <c r="X239" i="1"/>
  <c r="AH238" i="1"/>
  <c r="AF238" i="1"/>
  <c r="AG238" i="1" s="1"/>
  <c r="AE238" i="1"/>
  <c r="AD238" i="1"/>
  <c r="AC238" i="1"/>
  <c r="AB238" i="1"/>
  <c r="AA238" i="1"/>
  <c r="Z238" i="1"/>
  <c r="AI238" i="1" s="1"/>
  <c r="AJ238" i="1" s="1"/>
  <c r="AK238" i="1" s="1"/>
  <c r="Y238" i="1"/>
  <c r="X238" i="1"/>
  <c r="AH237" i="1"/>
  <c r="AF237" i="1"/>
  <c r="AG237" i="1" s="1"/>
  <c r="AE237" i="1"/>
  <c r="AD237" i="1"/>
  <c r="AC237" i="1"/>
  <c r="AB237" i="1"/>
  <c r="AA237" i="1"/>
  <c r="Z237" i="1"/>
  <c r="AI237" i="1" s="1"/>
  <c r="AJ237" i="1" s="1"/>
  <c r="AK237" i="1" s="1"/>
  <c r="Y237" i="1"/>
  <c r="X237" i="1"/>
  <c r="AH236" i="1"/>
  <c r="AF236" i="1"/>
  <c r="AG236" i="1" s="1"/>
  <c r="AE236" i="1"/>
  <c r="AD236" i="1"/>
  <c r="AC236" i="1"/>
  <c r="AB236" i="1"/>
  <c r="AA236" i="1"/>
  <c r="Z236" i="1"/>
  <c r="AI236" i="1" s="1"/>
  <c r="AJ236" i="1" s="1"/>
  <c r="AK236" i="1" s="1"/>
  <c r="Y236" i="1"/>
  <c r="X236" i="1"/>
  <c r="AH235" i="1"/>
  <c r="AE235" i="1"/>
  <c r="AA235" i="1"/>
  <c r="Y235" i="1"/>
  <c r="X235" i="1"/>
  <c r="AC235" i="1" s="1"/>
  <c r="AH231" i="1"/>
  <c r="AE231" i="1"/>
  <c r="AA231" i="1"/>
  <c r="Y231" i="1"/>
  <c r="X231" i="1"/>
  <c r="AC231" i="1" s="1"/>
  <c r="AH230" i="1"/>
  <c r="AE230" i="1"/>
  <c r="AA230" i="1"/>
  <c r="Y230" i="1"/>
  <c r="X230" i="1"/>
  <c r="AC230" i="1" s="1"/>
  <c r="AH229" i="1"/>
  <c r="AE229" i="1"/>
  <c r="AA229" i="1"/>
  <c r="Y229" i="1"/>
  <c r="X229" i="1"/>
  <c r="AC229" i="1" s="1"/>
  <c r="AH228" i="1"/>
  <c r="AE228" i="1"/>
  <c r="AA228" i="1"/>
  <c r="Y228" i="1"/>
  <c r="X228" i="1"/>
  <c r="AC228" i="1" s="1"/>
  <c r="AH227" i="1"/>
  <c r="AE227" i="1"/>
  <c r="AA227" i="1"/>
  <c r="Y227" i="1"/>
  <c r="X227" i="1"/>
  <c r="AC227" i="1" s="1"/>
  <c r="AH226" i="1"/>
  <c r="AE226" i="1"/>
  <c r="AA226" i="1"/>
  <c r="Y226" i="1"/>
  <c r="X226" i="1"/>
  <c r="AC226" i="1" s="1"/>
  <c r="AH225" i="1"/>
  <c r="AF225" i="1"/>
  <c r="AG225" i="1" s="1"/>
  <c r="AE225" i="1"/>
  <c r="AD225" i="1"/>
  <c r="AC225" i="1"/>
  <c r="AB225" i="1"/>
  <c r="AA225" i="1"/>
  <c r="Z225" i="1"/>
  <c r="Y225" i="1"/>
  <c r="X225" i="1"/>
  <c r="AH224" i="1"/>
  <c r="AF224" i="1"/>
  <c r="AG224" i="1" s="1"/>
  <c r="AE224" i="1"/>
  <c r="AD224" i="1"/>
  <c r="AC224" i="1"/>
  <c r="AB224" i="1"/>
  <c r="AA224" i="1"/>
  <c r="Z224" i="1"/>
  <c r="AI224" i="1" s="1"/>
  <c r="AJ224" i="1" s="1"/>
  <c r="AK224" i="1" s="1"/>
  <c r="Y224" i="1"/>
  <c r="X224" i="1"/>
  <c r="AH223" i="1"/>
  <c r="AF223" i="1"/>
  <c r="AG223" i="1" s="1"/>
  <c r="AE223" i="1"/>
  <c r="AD223" i="1"/>
  <c r="AC223" i="1"/>
  <c r="AB223" i="1"/>
  <c r="AA223" i="1"/>
  <c r="Z223" i="1"/>
  <c r="AI223" i="1" s="1"/>
  <c r="AJ223" i="1" s="1"/>
  <c r="AK223" i="1" s="1"/>
  <c r="Y223" i="1"/>
  <c r="X223" i="1"/>
  <c r="AH222" i="1"/>
  <c r="AF222" i="1"/>
  <c r="AG222" i="1" s="1"/>
  <c r="AE222" i="1"/>
  <c r="AD222" i="1"/>
  <c r="AC222" i="1"/>
  <c r="AB222" i="1"/>
  <c r="AA222" i="1"/>
  <c r="Z222" i="1"/>
  <c r="AI222" i="1" s="1"/>
  <c r="AJ222" i="1" s="1"/>
  <c r="AK222" i="1" s="1"/>
  <c r="Y222" i="1"/>
  <c r="X222" i="1"/>
  <c r="AH221" i="1"/>
  <c r="AF221" i="1"/>
  <c r="AG221" i="1" s="1"/>
  <c r="AE221" i="1"/>
  <c r="AD221" i="1"/>
  <c r="AC221" i="1"/>
  <c r="AB221" i="1"/>
  <c r="AA221" i="1"/>
  <c r="Z221" i="1"/>
  <c r="AI221" i="1" s="1"/>
  <c r="AJ221" i="1" s="1"/>
  <c r="AK221" i="1" s="1"/>
  <c r="Y221" i="1"/>
  <c r="X221" i="1"/>
  <c r="AH220" i="1"/>
  <c r="AF220" i="1"/>
  <c r="AG220" i="1" s="1"/>
  <c r="AE220" i="1"/>
  <c r="AD220" i="1"/>
  <c r="AC220" i="1"/>
  <c r="AB220" i="1"/>
  <c r="AA220" i="1"/>
  <c r="Z220" i="1"/>
  <c r="AI220" i="1" s="1"/>
  <c r="AJ220" i="1" s="1"/>
  <c r="AK220" i="1" s="1"/>
  <c r="Y220" i="1"/>
  <c r="X220" i="1"/>
  <c r="AH219" i="1"/>
  <c r="AF219" i="1"/>
  <c r="AG219" i="1" s="1"/>
  <c r="AE219" i="1"/>
  <c r="AD219" i="1"/>
  <c r="AC219" i="1"/>
  <c r="AB219" i="1"/>
  <c r="AA219" i="1"/>
  <c r="Z219" i="1"/>
  <c r="AI219" i="1" s="1"/>
  <c r="AJ219" i="1" s="1"/>
  <c r="AK219" i="1" s="1"/>
  <c r="Y219" i="1"/>
  <c r="X219" i="1"/>
  <c r="AH218" i="1"/>
  <c r="AF218" i="1"/>
  <c r="AG218" i="1" s="1"/>
  <c r="AE218" i="1"/>
  <c r="AD218" i="1"/>
  <c r="AC218" i="1"/>
  <c r="AB218" i="1"/>
  <c r="AA218" i="1"/>
  <c r="Z218" i="1"/>
  <c r="AI218" i="1" s="1"/>
  <c r="AJ218" i="1" s="1"/>
  <c r="AK218" i="1" s="1"/>
  <c r="Y218" i="1"/>
  <c r="X218" i="1"/>
  <c r="AH217" i="1"/>
  <c r="AF217" i="1"/>
  <c r="AG217" i="1" s="1"/>
  <c r="AE217" i="1"/>
  <c r="AD217" i="1"/>
  <c r="AC217" i="1"/>
  <c r="AB217" i="1"/>
  <c r="AA217" i="1"/>
  <c r="Z217" i="1"/>
  <c r="AI217" i="1" s="1"/>
  <c r="AJ217" i="1" s="1"/>
  <c r="AK217" i="1" s="1"/>
  <c r="Y217" i="1"/>
  <c r="X217" i="1"/>
  <c r="AH216" i="1"/>
  <c r="AF216" i="1"/>
  <c r="AG216" i="1" s="1"/>
  <c r="AE216" i="1"/>
  <c r="AD216" i="1"/>
  <c r="AC216" i="1"/>
  <c r="AB216" i="1"/>
  <c r="AA216" i="1"/>
  <c r="Z216" i="1"/>
  <c r="AI216" i="1" s="1"/>
  <c r="AJ216" i="1" s="1"/>
  <c r="AK216" i="1" s="1"/>
  <c r="Y216" i="1"/>
  <c r="X216" i="1"/>
  <c r="AH215" i="1"/>
  <c r="AF215" i="1"/>
  <c r="AG215" i="1" s="1"/>
  <c r="AE215" i="1"/>
  <c r="AD215" i="1"/>
  <c r="AC215" i="1"/>
  <c r="AB215" i="1"/>
  <c r="AA215" i="1"/>
  <c r="Z215" i="1"/>
  <c r="AI215" i="1" s="1"/>
  <c r="AJ215" i="1" s="1"/>
  <c r="AK215" i="1" s="1"/>
  <c r="Y215" i="1"/>
  <c r="X215" i="1"/>
  <c r="AH214" i="1"/>
  <c r="AE214" i="1"/>
  <c r="AA214" i="1"/>
  <c r="Y214" i="1"/>
  <c r="X214" i="1"/>
  <c r="AC214" i="1" s="1"/>
  <c r="AH213" i="1"/>
  <c r="AE213" i="1"/>
  <c r="AB213" i="1"/>
  <c r="AA213" i="1"/>
  <c r="Y213" i="1"/>
  <c r="AD213" i="1" s="1"/>
  <c r="X213" i="1"/>
  <c r="AC213" i="1" s="1"/>
  <c r="AH212" i="1"/>
  <c r="AE212" i="1"/>
  <c r="AA212" i="1"/>
  <c r="Y212" i="1"/>
  <c r="X212" i="1"/>
  <c r="AC212" i="1" s="1"/>
  <c r="AH208" i="1"/>
  <c r="AE208" i="1"/>
  <c r="AA208" i="1"/>
  <c r="Y208" i="1"/>
  <c r="X208" i="1"/>
  <c r="AC208" i="1" s="1"/>
  <c r="AH207" i="1"/>
  <c r="AE207" i="1"/>
  <c r="AA207" i="1"/>
  <c r="Y207" i="1"/>
  <c r="X207" i="1"/>
  <c r="AC207" i="1" s="1"/>
  <c r="AH206" i="1"/>
  <c r="AE206" i="1"/>
  <c r="AA206" i="1"/>
  <c r="Y206" i="1"/>
  <c r="X206" i="1"/>
  <c r="AC206" i="1" s="1"/>
  <c r="AH205" i="1"/>
  <c r="AE205" i="1"/>
  <c r="AB205" i="1"/>
  <c r="AA205" i="1"/>
  <c r="Y205" i="1"/>
  <c r="AD205" i="1" s="1"/>
  <c r="X205" i="1"/>
  <c r="AC205" i="1" s="1"/>
  <c r="AH204" i="1"/>
  <c r="AE204" i="1"/>
  <c r="AA204" i="1"/>
  <c r="Y204" i="1"/>
  <c r="X204" i="1"/>
  <c r="AC204" i="1" s="1"/>
  <c r="AH203" i="1"/>
  <c r="AE203" i="1"/>
  <c r="AD203" i="1"/>
  <c r="AC203" i="1"/>
  <c r="AA203" i="1"/>
  <c r="Y203" i="1"/>
  <c r="AB203" i="1" s="1"/>
  <c r="AI203" i="1" s="1"/>
  <c r="AJ203" i="1" s="1"/>
  <c r="AK203" i="1" s="1"/>
  <c r="X203" i="1"/>
  <c r="AH202" i="1"/>
  <c r="AE202" i="1"/>
  <c r="AA202" i="1"/>
  <c r="Y202" i="1"/>
  <c r="X202" i="1"/>
  <c r="AC202" i="1" s="1"/>
  <c r="AE201" i="1"/>
  <c r="AA201" i="1"/>
  <c r="Y201" i="1"/>
  <c r="X201" i="1"/>
  <c r="AC201" i="1" s="1"/>
  <c r="P201" i="1"/>
  <c r="AH201" i="1" s="1"/>
  <c r="AH200" i="1"/>
  <c r="AE200" i="1"/>
  <c r="AA200" i="1"/>
  <c r="Y200" i="1"/>
  <c r="X200" i="1"/>
  <c r="AC200" i="1" s="1"/>
  <c r="AH199" i="1"/>
  <c r="AF199" i="1"/>
  <c r="AG199" i="1" s="1"/>
  <c r="AE199" i="1"/>
  <c r="AD199" i="1"/>
  <c r="AC199" i="1"/>
  <c r="AB199" i="1"/>
  <c r="AA199" i="1"/>
  <c r="Z199" i="1"/>
  <c r="AI199" i="1" s="1"/>
  <c r="AJ199" i="1" s="1"/>
  <c r="AK199" i="1" s="1"/>
  <c r="Y199" i="1"/>
  <c r="X199" i="1"/>
  <c r="AH198" i="1"/>
  <c r="AF198" i="1"/>
  <c r="AG198" i="1" s="1"/>
  <c r="AE198" i="1"/>
  <c r="AD198" i="1"/>
  <c r="AC198" i="1"/>
  <c r="AB198" i="1"/>
  <c r="AA198" i="1"/>
  <c r="Z198" i="1"/>
  <c r="AI198" i="1" s="1"/>
  <c r="AJ198" i="1" s="1"/>
  <c r="AK198" i="1" s="1"/>
  <c r="Y198" i="1"/>
  <c r="X198" i="1"/>
  <c r="AH197" i="1"/>
  <c r="AF197" i="1"/>
  <c r="AG197" i="1" s="1"/>
  <c r="AE197" i="1"/>
  <c r="AD197" i="1"/>
  <c r="AC197" i="1"/>
  <c r="AB197" i="1"/>
  <c r="AA197" i="1"/>
  <c r="Z197" i="1"/>
  <c r="AI197" i="1" s="1"/>
  <c r="AJ197" i="1" s="1"/>
  <c r="AK197" i="1" s="1"/>
  <c r="Y197" i="1"/>
  <c r="X197" i="1"/>
  <c r="AH196" i="1"/>
  <c r="AF196" i="1"/>
  <c r="AG196" i="1" s="1"/>
  <c r="AE196" i="1"/>
  <c r="AD196" i="1"/>
  <c r="AC196" i="1"/>
  <c r="AB196" i="1"/>
  <c r="AA196" i="1"/>
  <c r="Z196" i="1"/>
  <c r="AI196" i="1" s="1"/>
  <c r="AJ196" i="1" s="1"/>
  <c r="AK196" i="1" s="1"/>
  <c r="Y196" i="1"/>
  <c r="X196" i="1"/>
  <c r="AH195" i="1"/>
  <c r="AE195" i="1"/>
  <c r="AA195" i="1"/>
  <c r="Y195" i="1"/>
  <c r="X195" i="1"/>
  <c r="AC195" i="1" s="1"/>
  <c r="AH191" i="1"/>
  <c r="AE191" i="1"/>
  <c r="AA191" i="1"/>
  <c r="Y191" i="1"/>
  <c r="X191" i="1"/>
  <c r="AC191" i="1" s="1"/>
  <c r="AH190" i="1"/>
  <c r="AE190" i="1"/>
  <c r="AA190" i="1"/>
  <c r="Y190" i="1"/>
  <c r="X190" i="1"/>
  <c r="AC190" i="1" s="1"/>
  <c r="AH189" i="1"/>
  <c r="AE189" i="1"/>
  <c r="AA189" i="1"/>
  <c r="Y189" i="1"/>
  <c r="X189" i="1"/>
  <c r="AC189" i="1" s="1"/>
  <c r="AH188" i="1"/>
  <c r="AE188" i="1"/>
  <c r="AA188" i="1"/>
  <c r="Y188" i="1"/>
  <c r="X188" i="1"/>
  <c r="AC188" i="1" s="1"/>
  <c r="AH187" i="1"/>
  <c r="AE187" i="1"/>
  <c r="AA187" i="1"/>
  <c r="Y187" i="1"/>
  <c r="X187" i="1"/>
  <c r="AC187" i="1" s="1"/>
  <c r="AH186" i="1"/>
  <c r="AE186" i="1"/>
  <c r="AA186" i="1"/>
  <c r="Y186" i="1"/>
  <c r="X186" i="1"/>
  <c r="AC186" i="1" s="1"/>
  <c r="AH185" i="1"/>
  <c r="AE185" i="1"/>
  <c r="AA185" i="1"/>
  <c r="Y185" i="1"/>
  <c r="X185" i="1"/>
  <c r="AC185" i="1" s="1"/>
  <c r="AH184" i="1"/>
  <c r="AE184" i="1"/>
  <c r="AA184" i="1"/>
  <c r="Y184" i="1"/>
  <c r="X184" i="1"/>
  <c r="AC184" i="1" s="1"/>
  <c r="AH183" i="1"/>
  <c r="AE183" i="1"/>
  <c r="AA183" i="1"/>
  <c r="Y183" i="1"/>
  <c r="X183" i="1"/>
  <c r="AC183" i="1" s="1"/>
  <c r="AH182" i="1"/>
  <c r="AE182" i="1"/>
  <c r="AA182" i="1"/>
  <c r="Y182" i="1"/>
  <c r="X182" i="1"/>
  <c r="AC182" i="1" s="1"/>
  <c r="AH181" i="1"/>
  <c r="AF181" i="1"/>
  <c r="AG181" i="1" s="1"/>
  <c r="AE181" i="1"/>
  <c r="AD181" i="1"/>
  <c r="AC181" i="1"/>
  <c r="AB181" i="1"/>
  <c r="AA181" i="1"/>
  <c r="Z181" i="1"/>
  <c r="AI181" i="1" s="1"/>
  <c r="AJ181" i="1" s="1"/>
  <c r="AK181" i="1" s="1"/>
  <c r="Y181" i="1"/>
  <c r="X181" i="1"/>
  <c r="AH180" i="1"/>
  <c r="AF180" i="1"/>
  <c r="AG180" i="1" s="1"/>
  <c r="AE180" i="1"/>
  <c r="AD180" i="1"/>
  <c r="AC180" i="1"/>
  <c r="AB180" i="1"/>
  <c r="AA180" i="1"/>
  <c r="Z180" i="1"/>
  <c r="AI180" i="1" s="1"/>
  <c r="AJ180" i="1" s="1"/>
  <c r="AK180" i="1" s="1"/>
  <c r="Y180" i="1"/>
  <c r="X180" i="1"/>
  <c r="AH179" i="1"/>
  <c r="AE179" i="1"/>
  <c r="AA179" i="1"/>
  <c r="Y179" i="1"/>
  <c r="X179" i="1"/>
  <c r="AC179" i="1" s="1"/>
  <c r="AH175" i="1"/>
  <c r="AE175" i="1"/>
  <c r="AA175" i="1"/>
  <c r="Y175" i="1"/>
  <c r="X175" i="1"/>
  <c r="AC175" i="1" s="1"/>
  <c r="AH174" i="1"/>
  <c r="AE174" i="1"/>
  <c r="AA174" i="1"/>
  <c r="Y174" i="1"/>
  <c r="X174" i="1"/>
  <c r="AC174" i="1" s="1"/>
  <c r="AH173" i="1"/>
  <c r="AE173" i="1"/>
  <c r="AA173" i="1"/>
  <c r="Y173" i="1"/>
  <c r="X173" i="1"/>
  <c r="AC173" i="1" s="1"/>
  <c r="AH172" i="1"/>
  <c r="AE172" i="1"/>
  <c r="AA172" i="1"/>
  <c r="Y172" i="1"/>
  <c r="X172" i="1"/>
  <c r="AC172" i="1" s="1"/>
  <c r="AH171" i="1"/>
  <c r="AE171" i="1"/>
  <c r="AA171" i="1"/>
  <c r="Y171" i="1"/>
  <c r="X171" i="1"/>
  <c r="AC171" i="1" s="1"/>
  <c r="AH170" i="1"/>
  <c r="AE170" i="1"/>
  <c r="AA170" i="1"/>
  <c r="Y170" i="1"/>
  <c r="X170" i="1"/>
  <c r="AC170" i="1" s="1"/>
  <c r="AH169" i="1"/>
  <c r="AE169" i="1"/>
  <c r="AA169" i="1"/>
  <c r="Y169" i="1"/>
  <c r="X169" i="1"/>
  <c r="AC169" i="1" s="1"/>
  <c r="AH168" i="1"/>
  <c r="AE168" i="1"/>
  <c r="AA168" i="1"/>
  <c r="Y168" i="1"/>
  <c r="X168" i="1"/>
  <c r="AC168" i="1" s="1"/>
  <c r="AH167" i="1"/>
  <c r="AF167" i="1"/>
  <c r="AG167" i="1" s="1"/>
  <c r="AE167" i="1"/>
  <c r="AD167" i="1"/>
  <c r="AC167" i="1"/>
  <c r="AB167" i="1"/>
  <c r="AA167" i="1"/>
  <c r="Z167" i="1"/>
  <c r="AI167" i="1" s="1"/>
  <c r="AJ167" i="1" s="1"/>
  <c r="AK167" i="1" s="1"/>
  <c r="Y167" i="1"/>
  <c r="X167" i="1"/>
  <c r="AH166" i="1"/>
  <c r="AE166" i="1"/>
  <c r="AC166" i="1"/>
  <c r="AA166" i="1"/>
  <c r="Y166" i="1"/>
  <c r="X166" i="1"/>
  <c r="AH165" i="1"/>
  <c r="AE165" i="1"/>
  <c r="AA165" i="1"/>
  <c r="Y165" i="1"/>
  <c r="X165" i="1"/>
  <c r="AC165" i="1" s="1"/>
  <c r="AH164" i="1"/>
  <c r="AE164" i="1"/>
  <c r="AA164" i="1"/>
  <c r="Y164" i="1"/>
  <c r="X164" i="1"/>
  <c r="AC164" i="1" s="1"/>
  <c r="AH163" i="1"/>
  <c r="AF163" i="1"/>
  <c r="AG163" i="1" s="1"/>
  <c r="AE163" i="1"/>
  <c r="AD163" i="1"/>
  <c r="AC163" i="1"/>
  <c r="AB163" i="1"/>
  <c r="AA163" i="1"/>
  <c r="Z163" i="1"/>
  <c r="AI163" i="1" s="1"/>
  <c r="AJ163" i="1" s="1"/>
  <c r="AK163" i="1" s="1"/>
  <c r="Y163" i="1"/>
  <c r="X163" i="1"/>
  <c r="AH162" i="1"/>
  <c r="AF162" i="1"/>
  <c r="AG162" i="1" s="1"/>
  <c r="AE162" i="1"/>
  <c r="AD162" i="1"/>
  <c r="AC162" i="1"/>
  <c r="AB162" i="1"/>
  <c r="AA162" i="1"/>
  <c r="Z162" i="1"/>
  <c r="AI162" i="1" s="1"/>
  <c r="AJ162" i="1" s="1"/>
  <c r="AK162" i="1" s="1"/>
  <c r="Y162" i="1"/>
  <c r="X162" i="1"/>
  <c r="AH161" i="1"/>
  <c r="AF161" i="1"/>
  <c r="AG161" i="1" s="1"/>
  <c r="AE161" i="1"/>
  <c r="AD161" i="1"/>
  <c r="AC161" i="1"/>
  <c r="AB161" i="1"/>
  <c r="AA161" i="1"/>
  <c r="Z161" i="1"/>
  <c r="AI161" i="1" s="1"/>
  <c r="AJ161" i="1" s="1"/>
  <c r="AK161" i="1" s="1"/>
  <c r="Y161" i="1"/>
  <c r="X161" i="1"/>
  <c r="AH160" i="1"/>
  <c r="AF160" i="1"/>
  <c r="AG160" i="1" s="1"/>
  <c r="AE160" i="1"/>
  <c r="AD160" i="1"/>
  <c r="AC160" i="1"/>
  <c r="AB160" i="1"/>
  <c r="AA160" i="1"/>
  <c r="Z160" i="1"/>
  <c r="AI160" i="1" s="1"/>
  <c r="AJ160" i="1" s="1"/>
  <c r="AK160" i="1" s="1"/>
  <c r="Y160" i="1"/>
  <c r="X160" i="1"/>
  <c r="AH159" i="1"/>
  <c r="AF159" i="1"/>
  <c r="AG159" i="1" s="1"/>
  <c r="AE159" i="1"/>
  <c r="AD159" i="1"/>
  <c r="AC159" i="1"/>
  <c r="AB159" i="1"/>
  <c r="AA159" i="1"/>
  <c r="Z159" i="1"/>
  <c r="AI159" i="1" s="1"/>
  <c r="AJ159" i="1" s="1"/>
  <c r="AK159" i="1" s="1"/>
  <c r="Y159" i="1"/>
  <c r="X159" i="1"/>
  <c r="AH158" i="1"/>
  <c r="AF158" i="1"/>
  <c r="AG158" i="1" s="1"/>
  <c r="AE158" i="1"/>
  <c r="AD158" i="1"/>
  <c r="AC158" i="1"/>
  <c r="AB158" i="1"/>
  <c r="AA158" i="1"/>
  <c r="Z158" i="1"/>
  <c r="AI158" i="1" s="1"/>
  <c r="AJ158" i="1" s="1"/>
  <c r="AK158" i="1" s="1"/>
  <c r="Y158" i="1"/>
  <c r="X158" i="1"/>
  <c r="AH157" i="1"/>
  <c r="AF157" i="1"/>
  <c r="AG157" i="1" s="1"/>
  <c r="AE157" i="1"/>
  <c r="AD157" i="1"/>
  <c r="AC157" i="1"/>
  <c r="AB157" i="1"/>
  <c r="AA157" i="1"/>
  <c r="Z157" i="1"/>
  <c r="AI157" i="1" s="1"/>
  <c r="AJ157" i="1" s="1"/>
  <c r="AK157" i="1" s="1"/>
  <c r="Y157" i="1"/>
  <c r="X157" i="1"/>
  <c r="AH156" i="1"/>
  <c r="AF156" i="1"/>
  <c r="AG156" i="1" s="1"/>
  <c r="AE156" i="1"/>
  <c r="AD156" i="1"/>
  <c r="AC156" i="1"/>
  <c r="AB156" i="1"/>
  <c r="AA156" i="1"/>
  <c r="Z156" i="1"/>
  <c r="AI156" i="1" s="1"/>
  <c r="AJ156" i="1" s="1"/>
  <c r="AK156" i="1" s="1"/>
  <c r="Y156" i="1"/>
  <c r="X156" i="1"/>
  <c r="AH155" i="1"/>
  <c r="AE155" i="1"/>
  <c r="AA155" i="1"/>
  <c r="Y155" i="1"/>
  <c r="X155" i="1"/>
  <c r="AC155" i="1" s="1"/>
  <c r="AH151" i="1"/>
  <c r="AE151" i="1"/>
  <c r="AA151" i="1"/>
  <c r="Y151" i="1"/>
  <c r="X151" i="1"/>
  <c r="AC151" i="1" s="1"/>
  <c r="AH150" i="1"/>
  <c r="AF150" i="1"/>
  <c r="AG150" i="1" s="1"/>
  <c r="AE150" i="1"/>
  <c r="AD150" i="1"/>
  <c r="AC150" i="1"/>
  <c r="AB150" i="1"/>
  <c r="AA150" i="1"/>
  <c r="Z150" i="1"/>
  <c r="AI150" i="1" s="1"/>
  <c r="AJ150" i="1" s="1"/>
  <c r="AK150" i="1" s="1"/>
  <c r="Y150" i="1"/>
  <c r="X150" i="1"/>
  <c r="AE149" i="1"/>
  <c r="AA149" i="1"/>
  <c r="Y149" i="1"/>
  <c r="X149" i="1"/>
  <c r="AC149" i="1" s="1"/>
  <c r="P149" i="1"/>
  <c r="AH149" i="1" s="1"/>
  <c r="AH148" i="1"/>
  <c r="AE148" i="1"/>
  <c r="AA148" i="1"/>
  <c r="Y148" i="1"/>
  <c r="X148" i="1"/>
  <c r="AC148" i="1" s="1"/>
  <c r="AH147" i="1"/>
  <c r="AE147" i="1"/>
  <c r="AA147" i="1"/>
  <c r="Y147" i="1"/>
  <c r="X147" i="1"/>
  <c r="AC147" i="1" s="1"/>
  <c r="AH146" i="1"/>
  <c r="AE146" i="1"/>
  <c r="AA146" i="1"/>
  <c r="Y146" i="1"/>
  <c r="X146" i="1"/>
  <c r="AC146" i="1" s="1"/>
  <c r="AH145" i="1"/>
  <c r="AE145" i="1"/>
  <c r="AA145" i="1"/>
  <c r="Y145" i="1"/>
  <c r="X145" i="1"/>
  <c r="AC145" i="1" s="1"/>
  <c r="AH144" i="1"/>
  <c r="AF144" i="1"/>
  <c r="AG144" i="1" s="1"/>
  <c r="AE144" i="1"/>
  <c r="AD144" i="1"/>
  <c r="AC144" i="1"/>
  <c r="AB144" i="1"/>
  <c r="AA144" i="1"/>
  <c r="Z144" i="1"/>
  <c r="AI144" i="1" s="1"/>
  <c r="AJ144" i="1" s="1"/>
  <c r="AK144" i="1" s="1"/>
  <c r="Y144" i="1"/>
  <c r="X144" i="1"/>
  <c r="AH143" i="1"/>
  <c r="AF143" i="1"/>
  <c r="AG143" i="1" s="1"/>
  <c r="AE143" i="1"/>
  <c r="AD143" i="1"/>
  <c r="AC143" i="1"/>
  <c r="AB143" i="1"/>
  <c r="AA143" i="1"/>
  <c r="Z143" i="1"/>
  <c r="AI143" i="1" s="1"/>
  <c r="AJ143" i="1" s="1"/>
  <c r="AK143" i="1" s="1"/>
  <c r="Y143" i="1"/>
  <c r="X143" i="1"/>
  <c r="AH142" i="1"/>
  <c r="AF142" i="1"/>
  <c r="AG142" i="1" s="1"/>
  <c r="AI142" i="1" s="1"/>
  <c r="AJ142" i="1" s="1"/>
  <c r="AK142" i="1" s="1"/>
  <c r="AE142" i="1"/>
  <c r="AD142" i="1"/>
  <c r="AC142" i="1"/>
  <c r="AB142" i="1"/>
  <c r="AA142" i="1"/>
  <c r="Z142" i="1"/>
  <c r="Y142" i="1"/>
  <c r="X142" i="1"/>
  <c r="AH141" i="1"/>
  <c r="AF141" i="1"/>
  <c r="AG141" i="1" s="1"/>
  <c r="AE141" i="1"/>
  <c r="AD141" i="1"/>
  <c r="AC141" i="1"/>
  <c r="AB141" i="1"/>
  <c r="AA141" i="1"/>
  <c r="Z141" i="1"/>
  <c r="AI141" i="1" s="1"/>
  <c r="AJ141" i="1" s="1"/>
  <c r="AK141" i="1" s="1"/>
  <c r="Y141" i="1"/>
  <c r="X141" i="1"/>
  <c r="AH140" i="1"/>
  <c r="AF140" i="1"/>
  <c r="AG140" i="1" s="1"/>
  <c r="AE140" i="1"/>
  <c r="AD140" i="1"/>
  <c r="AC140" i="1"/>
  <c r="AB140" i="1"/>
  <c r="AA140" i="1"/>
  <c r="Z140" i="1"/>
  <c r="AI140" i="1" s="1"/>
  <c r="AJ140" i="1" s="1"/>
  <c r="AK140" i="1" s="1"/>
  <c r="Y140" i="1"/>
  <c r="X140" i="1"/>
  <c r="AH139" i="1"/>
  <c r="AE139" i="1"/>
  <c r="AA139" i="1"/>
  <c r="Y139" i="1"/>
  <c r="X139" i="1"/>
  <c r="AC139" i="1" s="1"/>
  <c r="AH138" i="1"/>
  <c r="AE138" i="1"/>
  <c r="AA138" i="1"/>
  <c r="Y138" i="1"/>
  <c r="X138" i="1"/>
  <c r="AC138" i="1" s="1"/>
  <c r="AH137" i="1"/>
  <c r="AE137" i="1"/>
  <c r="AA137" i="1"/>
  <c r="Y137" i="1"/>
  <c r="X137" i="1"/>
  <c r="AC137" i="1" s="1"/>
  <c r="AE136" i="1"/>
  <c r="AA136" i="1"/>
  <c r="Y136" i="1"/>
  <c r="X136" i="1"/>
  <c r="AC136" i="1" s="1"/>
  <c r="P136" i="1"/>
  <c r="AH136" i="1" s="1"/>
  <c r="AH135" i="1"/>
  <c r="AE135" i="1"/>
  <c r="AA135" i="1"/>
  <c r="Y135" i="1"/>
  <c r="X135" i="1"/>
  <c r="AC135" i="1" s="1"/>
  <c r="AH134" i="1"/>
  <c r="AE134" i="1"/>
  <c r="AA134" i="1"/>
  <c r="Y134" i="1"/>
  <c r="X134" i="1"/>
  <c r="AC134" i="1" s="1"/>
  <c r="AH133" i="1"/>
  <c r="AE133" i="1"/>
  <c r="AA133" i="1"/>
  <c r="Y133" i="1"/>
  <c r="X133" i="1"/>
  <c r="AC133" i="1" s="1"/>
  <c r="AH132" i="1"/>
  <c r="AE132" i="1"/>
  <c r="AA132" i="1"/>
  <c r="Y132" i="1"/>
  <c r="X132" i="1"/>
  <c r="AC132" i="1" s="1"/>
  <c r="AH131" i="1"/>
  <c r="AE131" i="1"/>
  <c r="AA131" i="1"/>
  <c r="Y131" i="1"/>
  <c r="X131" i="1"/>
  <c r="AC131" i="1" s="1"/>
  <c r="AE130" i="1"/>
  <c r="AA130" i="1"/>
  <c r="Y130" i="1"/>
  <c r="X130" i="1"/>
  <c r="AC130" i="1" s="1"/>
  <c r="P130" i="1"/>
  <c r="AH130" i="1" s="1"/>
  <c r="AH126" i="1"/>
  <c r="AE126" i="1"/>
  <c r="AA126" i="1"/>
  <c r="Y126" i="1"/>
  <c r="X126" i="1"/>
  <c r="AC126" i="1" s="1"/>
  <c r="AH125" i="1"/>
  <c r="AE125" i="1"/>
  <c r="AA125" i="1"/>
  <c r="Y125" i="1"/>
  <c r="X125" i="1"/>
  <c r="AC125" i="1" s="1"/>
  <c r="AH124" i="1"/>
  <c r="AE124" i="1"/>
  <c r="AA124" i="1"/>
  <c r="Y124" i="1"/>
  <c r="X124" i="1"/>
  <c r="AC124" i="1" s="1"/>
  <c r="AH123" i="1"/>
  <c r="AF123" i="1"/>
  <c r="AG123" i="1" s="1"/>
  <c r="AE123" i="1"/>
  <c r="AD123" i="1"/>
  <c r="AC123" i="1"/>
  <c r="AB123" i="1"/>
  <c r="AA123" i="1"/>
  <c r="Z123" i="1"/>
  <c r="Y123" i="1"/>
  <c r="X123" i="1"/>
  <c r="AH122" i="1"/>
  <c r="AF122" i="1"/>
  <c r="AG122" i="1" s="1"/>
  <c r="AE122" i="1"/>
  <c r="AD122" i="1"/>
  <c r="AC122" i="1"/>
  <c r="AB122" i="1"/>
  <c r="AA122" i="1"/>
  <c r="Z122" i="1"/>
  <c r="AI122" i="1" s="1"/>
  <c r="AJ122" i="1" s="1"/>
  <c r="AK122" i="1" s="1"/>
  <c r="Y122" i="1"/>
  <c r="X122" i="1"/>
  <c r="AH121" i="1"/>
  <c r="AF121" i="1"/>
  <c r="AG121" i="1" s="1"/>
  <c r="AE121" i="1"/>
  <c r="AD121" i="1"/>
  <c r="AC121" i="1"/>
  <c r="AB121" i="1"/>
  <c r="AA121" i="1"/>
  <c r="Z121" i="1"/>
  <c r="AI121" i="1" s="1"/>
  <c r="AJ121" i="1" s="1"/>
  <c r="AK121" i="1" s="1"/>
  <c r="Y121" i="1"/>
  <c r="X121" i="1"/>
  <c r="AH120" i="1"/>
  <c r="AF120" i="1"/>
  <c r="AG120" i="1" s="1"/>
  <c r="AE120" i="1"/>
  <c r="AD120" i="1"/>
  <c r="AC120" i="1"/>
  <c r="AB120" i="1"/>
  <c r="AA120" i="1"/>
  <c r="Z120" i="1"/>
  <c r="AI120" i="1" s="1"/>
  <c r="AJ120" i="1" s="1"/>
  <c r="AK120" i="1" s="1"/>
  <c r="Y120" i="1"/>
  <c r="X120" i="1"/>
  <c r="AH119" i="1"/>
  <c r="AF119" i="1"/>
  <c r="AG119" i="1" s="1"/>
  <c r="AE119" i="1"/>
  <c r="AD119" i="1"/>
  <c r="AC119" i="1"/>
  <c r="AB119" i="1"/>
  <c r="AA119" i="1"/>
  <c r="Z119" i="1"/>
  <c r="AI119" i="1" s="1"/>
  <c r="AJ119" i="1" s="1"/>
  <c r="AK119" i="1" s="1"/>
  <c r="Y119" i="1"/>
  <c r="X119" i="1"/>
  <c r="AH118" i="1"/>
  <c r="AF118" i="1"/>
  <c r="AG118" i="1" s="1"/>
  <c r="AE118" i="1"/>
  <c r="AD118" i="1"/>
  <c r="AC118" i="1"/>
  <c r="AB118" i="1"/>
  <c r="AA118" i="1"/>
  <c r="Z118" i="1"/>
  <c r="AI118" i="1" s="1"/>
  <c r="AJ118" i="1" s="1"/>
  <c r="AK118" i="1" s="1"/>
  <c r="Y118" i="1"/>
  <c r="X118" i="1"/>
  <c r="AH117" i="1"/>
  <c r="AF117" i="1"/>
  <c r="AG117" i="1" s="1"/>
  <c r="AE117" i="1"/>
  <c r="AD117" i="1"/>
  <c r="AC117" i="1"/>
  <c r="AB117" i="1"/>
  <c r="AA117" i="1"/>
  <c r="Z117" i="1"/>
  <c r="AI117" i="1" s="1"/>
  <c r="AJ117" i="1" s="1"/>
  <c r="AK117" i="1" s="1"/>
  <c r="Y117" i="1"/>
  <c r="X117" i="1"/>
  <c r="AH116" i="1"/>
  <c r="AF116" i="1"/>
  <c r="AG116" i="1" s="1"/>
  <c r="AE116" i="1"/>
  <c r="AD116" i="1"/>
  <c r="AC116" i="1"/>
  <c r="AB116" i="1"/>
  <c r="AA116" i="1"/>
  <c r="Z116" i="1"/>
  <c r="AI116" i="1" s="1"/>
  <c r="AJ116" i="1" s="1"/>
  <c r="AK116" i="1" s="1"/>
  <c r="Y116" i="1"/>
  <c r="X116" i="1"/>
  <c r="AH115" i="1"/>
  <c r="AF115" i="1"/>
  <c r="AG115" i="1" s="1"/>
  <c r="AE115" i="1"/>
  <c r="AD115" i="1"/>
  <c r="AC115" i="1"/>
  <c r="AB115" i="1"/>
  <c r="AA115" i="1"/>
  <c r="Z115" i="1"/>
  <c r="AI115" i="1" s="1"/>
  <c r="AJ115" i="1" s="1"/>
  <c r="AK115" i="1" s="1"/>
  <c r="Y115" i="1"/>
  <c r="X115" i="1"/>
  <c r="AH114" i="1"/>
  <c r="AF114" i="1"/>
  <c r="AG114" i="1" s="1"/>
  <c r="AE114" i="1"/>
  <c r="AD114" i="1"/>
  <c r="AC114" i="1"/>
  <c r="AB114" i="1"/>
  <c r="AA114" i="1"/>
  <c r="Z114" i="1"/>
  <c r="AI114" i="1" s="1"/>
  <c r="AJ114" i="1" s="1"/>
  <c r="AK114" i="1" s="1"/>
  <c r="Y114" i="1"/>
  <c r="X114" i="1"/>
  <c r="AH113" i="1"/>
  <c r="AE113" i="1"/>
  <c r="AA113" i="1"/>
  <c r="Y113" i="1"/>
  <c r="X113" i="1"/>
  <c r="AC113" i="1" s="1"/>
  <c r="AH112" i="1"/>
  <c r="AE112" i="1"/>
  <c r="AA112" i="1"/>
  <c r="Y112" i="1"/>
  <c r="X112" i="1"/>
  <c r="AC112" i="1" s="1"/>
  <c r="AH111" i="1"/>
  <c r="AE111" i="1"/>
  <c r="AA111" i="1"/>
  <c r="Y111" i="1"/>
  <c r="X111" i="1"/>
  <c r="AC111" i="1" s="1"/>
  <c r="AH110" i="1"/>
  <c r="AF110" i="1"/>
  <c r="AG110" i="1" s="1"/>
  <c r="AE110" i="1"/>
  <c r="AD110" i="1"/>
  <c r="AC110" i="1"/>
  <c r="AB110" i="1"/>
  <c r="AA110" i="1"/>
  <c r="Z110" i="1"/>
  <c r="AI110" i="1" s="1"/>
  <c r="AJ110" i="1" s="1"/>
  <c r="AK110" i="1" s="1"/>
  <c r="Y110" i="1"/>
  <c r="X110" i="1"/>
  <c r="AH106" i="1"/>
  <c r="AE106" i="1"/>
  <c r="AA106" i="1"/>
  <c r="Y106" i="1"/>
  <c r="X106" i="1"/>
  <c r="AC106" i="1" s="1"/>
  <c r="AE105" i="1"/>
  <c r="AA105" i="1"/>
  <c r="Y105" i="1"/>
  <c r="X105" i="1"/>
  <c r="AC105" i="1" s="1"/>
  <c r="P105" i="1"/>
  <c r="AH105" i="1" s="1"/>
  <c r="AE104" i="1"/>
  <c r="AA104" i="1"/>
  <c r="Y104" i="1"/>
  <c r="X104" i="1"/>
  <c r="AC104" i="1" s="1"/>
  <c r="P104" i="1"/>
  <c r="AH104" i="1" s="1"/>
  <c r="AH103" i="1"/>
  <c r="AF103" i="1"/>
  <c r="AG103" i="1" s="1"/>
  <c r="AE103" i="1"/>
  <c r="AD103" i="1"/>
  <c r="AC103" i="1"/>
  <c r="AB103" i="1"/>
  <c r="AA103" i="1"/>
  <c r="Z103" i="1"/>
  <c r="AI103" i="1" s="1"/>
  <c r="AJ103" i="1" s="1"/>
  <c r="AK103" i="1" s="1"/>
  <c r="Y103" i="1"/>
  <c r="X103" i="1"/>
  <c r="AH102" i="1"/>
  <c r="AE102" i="1"/>
  <c r="AA102" i="1"/>
  <c r="Y102" i="1"/>
  <c r="X102" i="1"/>
  <c r="AC102" i="1" s="1"/>
  <c r="AH101" i="1"/>
  <c r="AE101" i="1"/>
  <c r="AA101" i="1"/>
  <c r="Y101" i="1"/>
  <c r="X101" i="1"/>
  <c r="AC101" i="1" s="1"/>
  <c r="AH100" i="1"/>
  <c r="AE100" i="1"/>
  <c r="AA100" i="1"/>
  <c r="Y100" i="1"/>
  <c r="X100" i="1"/>
  <c r="AC100" i="1" s="1"/>
  <c r="AH99" i="1"/>
  <c r="AE99" i="1"/>
  <c r="AA99" i="1"/>
  <c r="Y99" i="1"/>
  <c r="X99" i="1"/>
  <c r="AC99" i="1" s="1"/>
  <c r="AE98" i="1"/>
  <c r="AA98" i="1"/>
  <c r="Y98" i="1"/>
  <c r="X98" i="1"/>
  <c r="AC98" i="1" s="1"/>
  <c r="P98" i="1"/>
  <c r="AH98" i="1" s="1"/>
  <c r="AH97" i="1"/>
  <c r="AF97" i="1"/>
  <c r="AG97" i="1" s="1"/>
  <c r="AE97" i="1"/>
  <c r="AD97" i="1"/>
  <c r="AC97" i="1"/>
  <c r="AB97" i="1"/>
  <c r="AA97" i="1"/>
  <c r="Z97" i="1"/>
  <c r="AI97" i="1" s="1"/>
  <c r="AJ97" i="1" s="1"/>
  <c r="AK97" i="1" s="1"/>
  <c r="Y97" i="1"/>
  <c r="X97" i="1"/>
  <c r="AH96" i="1"/>
  <c r="AF96" i="1"/>
  <c r="AG96" i="1" s="1"/>
  <c r="AE96" i="1"/>
  <c r="AD96" i="1"/>
  <c r="AC96" i="1"/>
  <c r="AB96" i="1"/>
  <c r="AA96" i="1"/>
  <c r="Z96" i="1"/>
  <c r="AI96" i="1" s="1"/>
  <c r="AJ96" i="1" s="1"/>
  <c r="AK96" i="1" s="1"/>
  <c r="Y96" i="1"/>
  <c r="X96" i="1"/>
  <c r="AH95" i="1"/>
  <c r="AF95" i="1"/>
  <c r="AG95" i="1" s="1"/>
  <c r="AE95" i="1"/>
  <c r="AD95" i="1"/>
  <c r="AC95" i="1"/>
  <c r="AB95" i="1"/>
  <c r="AA95" i="1"/>
  <c r="Z95" i="1"/>
  <c r="AI95" i="1" s="1"/>
  <c r="AJ95" i="1" s="1"/>
  <c r="AK95" i="1" s="1"/>
  <c r="Y95" i="1"/>
  <c r="X95" i="1"/>
  <c r="AH94" i="1"/>
  <c r="AF94" i="1"/>
  <c r="AG94" i="1" s="1"/>
  <c r="AE94" i="1"/>
  <c r="AD94" i="1"/>
  <c r="AC94" i="1"/>
  <c r="AB94" i="1"/>
  <c r="AA94" i="1"/>
  <c r="Z94" i="1"/>
  <c r="AI94" i="1" s="1"/>
  <c r="AJ94" i="1" s="1"/>
  <c r="AK94" i="1" s="1"/>
  <c r="Y94" i="1"/>
  <c r="X94" i="1"/>
  <c r="AH93" i="1"/>
  <c r="AF93" i="1"/>
  <c r="AG93" i="1" s="1"/>
  <c r="AE93" i="1"/>
  <c r="AD93" i="1"/>
  <c r="AC93" i="1"/>
  <c r="AB93" i="1"/>
  <c r="AA93" i="1"/>
  <c r="Z93" i="1"/>
  <c r="AI93" i="1" s="1"/>
  <c r="AJ93" i="1" s="1"/>
  <c r="AK93" i="1" s="1"/>
  <c r="Y93" i="1"/>
  <c r="X93" i="1"/>
  <c r="AH92" i="1"/>
  <c r="AF92" i="1"/>
  <c r="AG92" i="1" s="1"/>
  <c r="AE92" i="1"/>
  <c r="AD92" i="1"/>
  <c r="AC92" i="1"/>
  <c r="AB92" i="1"/>
  <c r="AA92" i="1"/>
  <c r="Z92" i="1"/>
  <c r="AI92" i="1" s="1"/>
  <c r="AJ92" i="1" s="1"/>
  <c r="AK92" i="1" s="1"/>
  <c r="Y92" i="1"/>
  <c r="X92" i="1"/>
  <c r="AH91" i="1"/>
  <c r="AE91" i="1"/>
  <c r="AA91" i="1"/>
  <c r="Y91" i="1"/>
  <c r="X91" i="1"/>
  <c r="AC91" i="1" s="1"/>
  <c r="AH90" i="1"/>
  <c r="AE90" i="1"/>
  <c r="AA90" i="1"/>
  <c r="Y90" i="1"/>
  <c r="X90" i="1"/>
  <c r="AC90" i="1" s="1"/>
  <c r="AH86" i="1"/>
  <c r="AE86" i="1"/>
  <c r="AA86" i="1"/>
  <c r="Y86" i="1"/>
  <c r="X86" i="1"/>
  <c r="AC86" i="1" s="1"/>
  <c r="AH85" i="1"/>
  <c r="AE85" i="1"/>
  <c r="AB85" i="1"/>
  <c r="AA85" i="1"/>
  <c r="Y85" i="1"/>
  <c r="AD85" i="1" s="1"/>
  <c r="X85" i="1"/>
  <c r="AC85" i="1" s="1"/>
  <c r="AH84" i="1"/>
  <c r="AE84" i="1"/>
  <c r="AA84" i="1"/>
  <c r="Y84" i="1"/>
  <c r="X84" i="1"/>
  <c r="AC84" i="1" s="1"/>
  <c r="AH83" i="1"/>
  <c r="AE83" i="1"/>
  <c r="AA83" i="1"/>
  <c r="Y83" i="1"/>
  <c r="X83" i="1"/>
  <c r="AC83" i="1" s="1"/>
  <c r="AH82" i="1"/>
  <c r="AF82" i="1"/>
  <c r="AG82" i="1" s="1"/>
  <c r="AE82" i="1"/>
  <c r="AD82" i="1"/>
  <c r="AC82" i="1"/>
  <c r="AB82" i="1"/>
  <c r="AA82" i="1"/>
  <c r="Z82" i="1"/>
  <c r="AI82" i="1" s="1"/>
  <c r="AJ82" i="1" s="1"/>
  <c r="AK82" i="1" s="1"/>
  <c r="Y82" i="1"/>
  <c r="X82" i="1"/>
  <c r="AH81" i="1"/>
  <c r="AE81" i="1"/>
  <c r="AA81" i="1"/>
  <c r="Y81" i="1"/>
  <c r="X81" i="1"/>
  <c r="AC81" i="1" s="1"/>
  <c r="AH80" i="1"/>
  <c r="AE80" i="1"/>
  <c r="AA80" i="1"/>
  <c r="Y80" i="1"/>
  <c r="X80" i="1"/>
  <c r="AC80" i="1" s="1"/>
  <c r="AH79" i="1"/>
  <c r="AE79" i="1"/>
  <c r="AA79" i="1"/>
  <c r="Y79" i="1"/>
  <c r="X79" i="1"/>
  <c r="AC79" i="1" s="1"/>
  <c r="AH78" i="1"/>
  <c r="AE78" i="1"/>
  <c r="AA78" i="1"/>
  <c r="Y78" i="1"/>
  <c r="X78" i="1"/>
  <c r="AC78" i="1" s="1"/>
  <c r="AH77" i="1"/>
  <c r="AF77" i="1"/>
  <c r="AG77" i="1" s="1"/>
  <c r="AE77" i="1"/>
  <c r="AD77" i="1"/>
  <c r="AC77" i="1"/>
  <c r="AB77" i="1"/>
  <c r="AA77" i="1"/>
  <c r="Z77" i="1"/>
  <c r="AI77" i="1" s="1"/>
  <c r="AJ77" i="1" s="1"/>
  <c r="AK77" i="1" s="1"/>
  <c r="Y77" i="1"/>
  <c r="X77" i="1"/>
  <c r="AH76" i="1"/>
  <c r="AF76" i="1"/>
  <c r="AG76" i="1" s="1"/>
  <c r="AE76" i="1"/>
  <c r="AD76" i="1"/>
  <c r="AC76" i="1"/>
  <c r="AB76" i="1"/>
  <c r="AA76" i="1"/>
  <c r="Z76" i="1"/>
  <c r="AI76" i="1" s="1"/>
  <c r="AJ76" i="1" s="1"/>
  <c r="AK76" i="1" s="1"/>
  <c r="Y76" i="1"/>
  <c r="X76" i="1"/>
  <c r="AH75" i="1"/>
  <c r="AE75" i="1"/>
  <c r="AA75" i="1"/>
  <c r="Y75" i="1"/>
  <c r="X75" i="1"/>
  <c r="AC75" i="1" s="1"/>
  <c r="AH74" i="1"/>
  <c r="AE74" i="1"/>
  <c r="AA74" i="1"/>
  <c r="Y74" i="1"/>
  <c r="X74" i="1"/>
  <c r="AC74" i="1" s="1"/>
  <c r="AH73" i="1"/>
  <c r="AE73" i="1"/>
  <c r="AA73" i="1"/>
  <c r="Y73" i="1"/>
  <c r="X73" i="1"/>
  <c r="AC73" i="1" s="1"/>
  <c r="AH72" i="1"/>
  <c r="AE72" i="1"/>
  <c r="AA72" i="1"/>
  <c r="Y72" i="1"/>
  <c r="X72" i="1"/>
  <c r="AC72" i="1" s="1"/>
  <c r="AH68" i="1"/>
  <c r="AE68" i="1"/>
  <c r="AA68" i="1"/>
  <c r="Y68" i="1"/>
  <c r="X68" i="1"/>
  <c r="AC68" i="1" s="1"/>
  <c r="AH67" i="1"/>
  <c r="AE67" i="1"/>
  <c r="AA67" i="1"/>
  <c r="Y67" i="1"/>
  <c r="X67" i="1"/>
  <c r="AC67" i="1" s="1"/>
  <c r="AH66" i="1"/>
  <c r="AF66" i="1"/>
  <c r="AG66" i="1" s="1"/>
  <c r="AE66" i="1"/>
  <c r="AD66" i="1"/>
  <c r="AC66" i="1"/>
  <c r="AB66" i="1"/>
  <c r="AA66" i="1"/>
  <c r="Z66" i="1"/>
  <c r="AI66" i="1" s="1"/>
  <c r="AJ66" i="1" s="1"/>
  <c r="AK66" i="1" s="1"/>
  <c r="Y66" i="1"/>
  <c r="X66" i="1"/>
  <c r="AH65" i="1"/>
  <c r="AF65" i="1"/>
  <c r="AG65" i="1" s="1"/>
  <c r="AE65" i="1"/>
  <c r="AD65" i="1"/>
  <c r="AC65" i="1"/>
  <c r="AB65" i="1"/>
  <c r="AA65" i="1"/>
  <c r="Z65" i="1"/>
  <c r="AI65" i="1" s="1"/>
  <c r="AJ65" i="1" s="1"/>
  <c r="AK65" i="1" s="1"/>
  <c r="Y65" i="1"/>
  <c r="X65" i="1"/>
  <c r="AH64" i="1"/>
  <c r="AE64" i="1"/>
  <c r="AA64" i="1"/>
  <c r="Y64" i="1"/>
  <c r="X64" i="1"/>
  <c r="AC64" i="1" s="1"/>
  <c r="AH63" i="1"/>
  <c r="AF63" i="1"/>
  <c r="AG63" i="1" s="1"/>
  <c r="AE63" i="1"/>
  <c r="AD63" i="1"/>
  <c r="AC63" i="1"/>
  <c r="AB63" i="1"/>
  <c r="AA63" i="1"/>
  <c r="Z63" i="1"/>
  <c r="AI63" i="1" s="1"/>
  <c r="AJ63" i="1" s="1"/>
  <c r="AK63" i="1" s="1"/>
  <c r="Y63" i="1"/>
  <c r="X63" i="1"/>
  <c r="AH62" i="1"/>
  <c r="AF62" i="1"/>
  <c r="AG62" i="1" s="1"/>
  <c r="AE62" i="1"/>
  <c r="AD62" i="1"/>
  <c r="AC62" i="1"/>
  <c r="AB62" i="1"/>
  <c r="AA62" i="1"/>
  <c r="Z62" i="1"/>
  <c r="AI62" i="1" s="1"/>
  <c r="AJ62" i="1" s="1"/>
  <c r="AK62" i="1" s="1"/>
  <c r="Y62" i="1"/>
  <c r="X62" i="1"/>
  <c r="AH61" i="1"/>
  <c r="AF61" i="1"/>
  <c r="AG61" i="1" s="1"/>
  <c r="AE61" i="1"/>
  <c r="AD61" i="1"/>
  <c r="AC61" i="1"/>
  <c r="AB61" i="1"/>
  <c r="AA61" i="1"/>
  <c r="Z61" i="1"/>
  <c r="Y61" i="1"/>
  <c r="X61" i="1"/>
  <c r="AH60" i="1"/>
  <c r="AF60" i="1"/>
  <c r="AG60" i="1" s="1"/>
  <c r="AE60" i="1"/>
  <c r="AD60" i="1"/>
  <c r="AC60" i="1"/>
  <c r="AB60" i="1"/>
  <c r="AA60" i="1"/>
  <c r="Z60" i="1"/>
  <c r="AI60" i="1" s="1"/>
  <c r="AJ60" i="1" s="1"/>
  <c r="AK60" i="1" s="1"/>
  <c r="Y60" i="1"/>
  <c r="X60" i="1"/>
  <c r="AH59" i="1"/>
  <c r="AF59" i="1"/>
  <c r="AG59" i="1" s="1"/>
  <c r="AE59" i="1"/>
  <c r="AD59" i="1"/>
  <c r="AC59" i="1"/>
  <c r="AB59" i="1"/>
  <c r="AA59" i="1"/>
  <c r="Z59" i="1"/>
  <c r="AI59" i="1" s="1"/>
  <c r="AJ59" i="1" s="1"/>
  <c r="AK59" i="1" s="1"/>
  <c r="Y59" i="1"/>
  <c r="X59" i="1"/>
  <c r="AH58" i="1"/>
  <c r="AE58" i="1"/>
  <c r="AA58" i="1"/>
  <c r="Y58" i="1"/>
  <c r="X58" i="1"/>
  <c r="AC58" i="1" s="1"/>
  <c r="AH57" i="1"/>
  <c r="AE57" i="1"/>
  <c r="AA57" i="1"/>
  <c r="Y57" i="1"/>
  <c r="X57" i="1"/>
  <c r="AC57" i="1" s="1"/>
  <c r="AH56" i="1"/>
  <c r="AE56" i="1"/>
  <c r="AA56" i="1"/>
  <c r="Y56" i="1"/>
  <c r="X56" i="1"/>
  <c r="AC56" i="1" s="1"/>
  <c r="AH55" i="1"/>
  <c r="AE55" i="1"/>
  <c r="AA55" i="1"/>
  <c r="Y55" i="1"/>
  <c r="X55" i="1"/>
  <c r="AC55" i="1" s="1"/>
  <c r="AH54" i="1"/>
  <c r="AE54" i="1"/>
  <c r="AA54" i="1"/>
  <c r="Y54" i="1"/>
  <c r="X54" i="1"/>
  <c r="AC54" i="1" s="1"/>
  <c r="AH53" i="1"/>
  <c r="AE53" i="1"/>
  <c r="AA53" i="1"/>
  <c r="Y53" i="1"/>
  <c r="X53" i="1"/>
  <c r="AC53" i="1" s="1"/>
  <c r="AH52" i="1"/>
  <c r="AE52" i="1"/>
  <c r="AA52" i="1"/>
  <c r="Y52" i="1"/>
  <c r="X52" i="1"/>
  <c r="AC52" i="1" s="1"/>
  <c r="AH48" i="1"/>
  <c r="AE48" i="1"/>
  <c r="AA48" i="1"/>
  <c r="Y48" i="1"/>
  <c r="X48" i="1"/>
  <c r="AC48" i="1" s="1"/>
  <c r="AH47" i="1"/>
  <c r="AE47" i="1"/>
  <c r="AA47" i="1"/>
  <c r="Y47" i="1"/>
  <c r="X47" i="1"/>
  <c r="AC47" i="1" s="1"/>
  <c r="AH46" i="1"/>
  <c r="AE46" i="1"/>
  <c r="AA46" i="1"/>
  <c r="Y46" i="1"/>
  <c r="X46" i="1"/>
  <c r="AC46" i="1" s="1"/>
  <c r="AH45" i="1"/>
  <c r="AF45" i="1"/>
  <c r="AG45" i="1" s="1"/>
  <c r="AE45" i="1"/>
  <c r="AD45" i="1"/>
  <c r="AC45" i="1"/>
  <c r="AB45" i="1"/>
  <c r="AA45" i="1"/>
  <c r="Z45" i="1"/>
  <c r="AI45" i="1" s="1"/>
  <c r="AJ45" i="1" s="1"/>
  <c r="AK45" i="1" s="1"/>
  <c r="Y45" i="1"/>
  <c r="X45" i="1"/>
  <c r="AH44" i="1"/>
  <c r="AE44" i="1"/>
  <c r="AA44" i="1"/>
  <c r="Y44" i="1"/>
  <c r="X44" i="1"/>
  <c r="AC44" i="1" s="1"/>
  <c r="AH43" i="1"/>
  <c r="AE43" i="1"/>
  <c r="AA43" i="1"/>
  <c r="Y43" i="1"/>
  <c r="X43" i="1"/>
  <c r="AC43" i="1" s="1"/>
  <c r="AH42" i="1"/>
  <c r="AF42" i="1"/>
  <c r="AG42" i="1" s="1"/>
  <c r="AE42" i="1"/>
  <c r="AD42" i="1"/>
  <c r="AC42" i="1"/>
  <c r="AB42" i="1"/>
  <c r="AA42" i="1"/>
  <c r="Z42" i="1"/>
  <c r="AI42" i="1" s="1"/>
  <c r="AJ42" i="1" s="1"/>
  <c r="AK42" i="1" s="1"/>
  <c r="Y42" i="1"/>
  <c r="X42" i="1"/>
  <c r="AH41" i="1"/>
  <c r="AF41" i="1"/>
  <c r="AG41" i="1" s="1"/>
  <c r="AE41" i="1"/>
  <c r="AD41" i="1"/>
  <c r="AC41" i="1"/>
  <c r="AB41" i="1"/>
  <c r="AA41" i="1"/>
  <c r="Z41" i="1"/>
  <c r="AI41" i="1" s="1"/>
  <c r="AJ41" i="1" s="1"/>
  <c r="AK41" i="1" s="1"/>
  <c r="Y41" i="1"/>
  <c r="X41" i="1"/>
  <c r="AH40" i="1"/>
  <c r="AF40" i="1"/>
  <c r="AG40" i="1" s="1"/>
  <c r="AE40" i="1"/>
  <c r="AD40" i="1"/>
  <c r="AC40" i="1"/>
  <c r="AB40" i="1"/>
  <c r="AA40" i="1"/>
  <c r="Z40" i="1"/>
  <c r="AI40" i="1" s="1"/>
  <c r="AJ40" i="1" s="1"/>
  <c r="AK40" i="1" s="1"/>
  <c r="Y40" i="1"/>
  <c r="X40" i="1"/>
  <c r="AH39" i="1"/>
  <c r="AF39" i="1"/>
  <c r="AG39" i="1" s="1"/>
  <c r="AE39" i="1"/>
  <c r="AD39" i="1"/>
  <c r="AC39" i="1"/>
  <c r="AB39" i="1"/>
  <c r="AA39" i="1"/>
  <c r="Z39" i="1"/>
  <c r="AI39" i="1" s="1"/>
  <c r="AJ39" i="1" s="1"/>
  <c r="AK39" i="1" s="1"/>
  <c r="Y39" i="1"/>
  <c r="X39" i="1"/>
  <c r="AH38" i="1"/>
  <c r="AF38" i="1"/>
  <c r="AG38" i="1" s="1"/>
  <c r="AE38" i="1"/>
  <c r="AD38" i="1"/>
  <c r="AC38" i="1"/>
  <c r="AB38" i="1"/>
  <c r="AA38" i="1"/>
  <c r="Z38" i="1"/>
  <c r="AI38" i="1" s="1"/>
  <c r="AJ38" i="1" s="1"/>
  <c r="AK38" i="1" s="1"/>
  <c r="Y38" i="1"/>
  <c r="X38" i="1"/>
  <c r="AH37" i="1"/>
  <c r="AF37" i="1"/>
  <c r="AG37" i="1" s="1"/>
  <c r="AE37" i="1"/>
  <c r="AD37" i="1"/>
  <c r="AC37" i="1"/>
  <c r="AB37" i="1"/>
  <c r="AA37" i="1"/>
  <c r="Z37" i="1"/>
  <c r="AI37" i="1" s="1"/>
  <c r="AJ37" i="1" s="1"/>
  <c r="AK37" i="1" s="1"/>
  <c r="Y37" i="1"/>
  <c r="X37" i="1"/>
  <c r="AH36" i="1"/>
  <c r="AF36" i="1"/>
  <c r="AG36" i="1" s="1"/>
  <c r="AE36" i="1"/>
  <c r="AD36" i="1"/>
  <c r="AC36" i="1"/>
  <c r="AB36" i="1"/>
  <c r="AA36" i="1"/>
  <c r="Z36" i="1"/>
  <c r="AI36" i="1" s="1"/>
  <c r="AJ36" i="1" s="1"/>
  <c r="AK36" i="1" s="1"/>
  <c r="Y36" i="1"/>
  <c r="X36" i="1"/>
  <c r="AH35" i="1"/>
  <c r="AE35" i="1"/>
  <c r="AA35" i="1"/>
  <c r="Y35" i="1"/>
  <c r="X35" i="1"/>
  <c r="AC35" i="1" s="1"/>
  <c r="AH34" i="1"/>
  <c r="AE34" i="1"/>
  <c r="AA34" i="1"/>
  <c r="Y34" i="1"/>
  <c r="X34" i="1"/>
  <c r="AC34" i="1" s="1"/>
  <c r="AH33" i="1"/>
  <c r="AE33" i="1"/>
  <c r="AA33" i="1"/>
  <c r="Y33" i="1"/>
  <c r="X33" i="1"/>
  <c r="AC33" i="1" s="1"/>
  <c r="AH32" i="1"/>
  <c r="AE32" i="1"/>
  <c r="AA32" i="1"/>
  <c r="Y32" i="1"/>
  <c r="X32" i="1"/>
  <c r="AC32" i="1" s="1"/>
  <c r="AH31" i="1"/>
  <c r="AE31" i="1"/>
  <c r="AA31" i="1"/>
  <c r="Y31" i="1"/>
  <c r="X31" i="1"/>
  <c r="AC31" i="1" s="1"/>
  <c r="AH30" i="1"/>
  <c r="AE30" i="1"/>
  <c r="AB30" i="1"/>
  <c r="AA30" i="1"/>
  <c r="Y30" i="1"/>
  <c r="AD30" i="1" s="1"/>
  <c r="X30" i="1"/>
  <c r="AC30" i="1" s="1"/>
  <c r="AH26" i="1"/>
  <c r="AE26" i="1"/>
  <c r="AA26" i="1"/>
  <c r="Y26" i="1"/>
  <c r="X26" i="1"/>
  <c r="AC26" i="1" s="1"/>
  <c r="AH25" i="1"/>
  <c r="AF25" i="1"/>
  <c r="AG25" i="1" s="1"/>
  <c r="AE25" i="1"/>
  <c r="AD25" i="1"/>
  <c r="AC25" i="1"/>
  <c r="AB25" i="1"/>
  <c r="AA25" i="1"/>
  <c r="Z25" i="1"/>
  <c r="AI25" i="1" s="1"/>
  <c r="AJ25" i="1" s="1"/>
  <c r="AK25" i="1" s="1"/>
  <c r="Y25" i="1"/>
  <c r="X25" i="1"/>
  <c r="AH24" i="1"/>
  <c r="AE24" i="1"/>
  <c r="AA24" i="1"/>
  <c r="Y24" i="1"/>
  <c r="X24" i="1"/>
  <c r="AC24" i="1" s="1"/>
  <c r="AH23" i="1"/>
  <c r="AF23" i="1"/>
  <c r="AG23" i="1" s="1"/>
  <c r="AE23" i="1"/>
  <c r="AD23" i="1"/>
  <c r="AC23" i="1"/>
  <c r="AB23" i="1"/>
  <c r="AA23" i="1"/>
  <c r="Z23" i="1"/>
  <c r="AI23" i="1" s="1"/>
  <c r="AJ23" i="1" s="1"/>
  <c r="AK23" i="1" s="1"/>
  <c r="Y23" i="1"/>
  <c r="X23" i="1"/>
  <c r="AH22" i="1"/>
  <c r="AF22" i="1"/>
  <c r="AG22" i="1" s="1"/>
  <c r="AI22" i="1" s="1"/>
  <c r="AJ22" i="1" s="1"/>
  <c r="AK22" i="1" s="1"/>
  <c r="AE22" i="1"/>
  <c r="AD22" i="1"/>
  <c r="AC22" i="1"/>
  <c r="AB22" i="1"/>
  <c r="AA22" i="1"/>
  <c r="Z22" i="1"/>
  <c r="Y22" i="1"/>
  <c r="X22" i="1"/>
  <c r="AH21" i="1"/>
  <c r="AF21" i="1"/>
  <c r="AG21" i="1" s="1"/>
  <c r="AE21" i="1"/>
  <c r="AD21" i="1"/>
  <c r="AC21" i="1"/>
  <c r="AB21" i="1"/>
  <c r="AA21" i="1"/>
  <c r="Z21" i="1"/>
  <c r="AI21" i="1" s="1"/>
  <c r="AJ21" i="1" s="1"/>
  <c r="AK21" i="1" s="1"/>
  <c r="Y21" i="1"/>
  <c r="X21" i="1"/>
  <c r="AH20" i="1"/>
  <c r="AF20" i="1"/>
  <c r="AG20" i="1" s="1"/>
  <c r="AE20" i="1"/>
  <c r="AD20" i="1"/>
  <c r="AC20" i="1"/>
  <c r="AB20" i="1"/>
  <c r="AA20" i="1"/>
  <c r="Z20" i="1"/>
  <c r="AI20" i="1" s="1"/>
  <c r="AJ20" i="1" s="1"/>
  <c r="AK20" i="1" s="1"/>
  <c r="Y20" i="1"/>
  <c r="X20" i="1"/>
  <c r="AH19" i="1"/>
  <c r="AF19" i="1"/>
  <c r="AG19" i="1" s="1"/>
  <c r="AE19" i="1"/>
  <c r="AD19" i="1"/>
  <c r="AC19" i="1"/>
  <c r="AB19" i="1"/>
  <c r="AA19" i="1"/>
  <c r="Z19" i="1"/>
  <c r="AI19" i="1" s="1"/>
  <c r="AJ19" i="1" s="1"/>
  <c r="AK19" i="1" s="1"/>
  <c r="Y19" i="1"/>
  <c r="X19" i="1"/>
  <c r="AH18" i="1"/>
  <c r="AF18" i="1"/>
  <c r="AG18" i="1" s="1"/>
  <c r="AE18" i="1"/>
  <c r="AD18" i="1"/>
  <c r="AC18" i="1"/>
  <c r="AB18" i="1"/>
  <c r="AA18" i="1"/>
  <c r="Z18" i="1"/>
  <c r="AI18" i="1" s="1"/>
  <c r="AJ18" i="1" s="1"/>
  <c r="AK18" i="1" s="1"/>
  <c r="Y18" i="1"/>
  <c r="X18" i="1"/>
  <c r="AH17" i="1"/>
  <c r="AF17" i="1"/>
  <c r="AG17" i="1" s="1"/>
  <c r="AE17" i="1"/>
  <c r="AD17" i="1"/>
  <c r="AC17" i="1"/>
  <c r="AB17" i="1"/>
  <c r="AA17" i="1"/>
  <c r="Z17" i="1"/>
  <c r="AI17" i="1" s="1"/>
  <c r="AJ17" i="1" s="1"/>
  <c r="AK17" i="1" s="1"/>
  <c r="Y17" i="1"/>
  <c r="X17" i="1"/>
  <c r="AH16" i="1"/>
  <c r="AE16" i="1"/>
  <c r="AA16" i="1"/>
  <c r="Y16" i="1"/>
  <c r="X16" i="1"/>
  <c r="AC16" i="1" s="1"/>
  <c r="AH15" i="1"/>
  <c r="AE15" i="1"/>
  <c r="AA15" i="1"/>
  <c r="Y15" i="1"/>
  <c r="X15" i="1"/>
  <c r="AC15" i="1" s="1"/>
  <c r="AH14" i="1"/>
  <c r="AE14" i="1"/>
  <c r="AA14" i="1"/>
  <c r="Y14" i="1"/>
  <c r="X14" i="1"/>
  <c r="AC14" i="1" s="1"/>
  <c r="AH13" i="1"/>
  <c r="AE13" i="1"/>
  <c r="AB13" i="1"/>
  <c r="AA13" i="1"/>
  <c r="Y13" i="1"/>
  <c r="AD13" i="1" s="1"/>
  <c r="X13" i="1"/>
  <c r="AC13" i="1" s="1"/>
  <c r="AH12" i="1"/>
  <c r="AE12" i="1"/>
  <c r="AA12" i="1"/>
  <c r="Y12" i="1"/>
  <c r="X12" i="1"/>
  <c r="AC12" i="1" s="1"/>
  <c r="AH11" i="1"/>
  <c r="AE11" i="1"/>
  <c r="AA11" i="1"/>
  <c r="Y11" i="1"/>
  <c r="X11" i="1"/>
  <c r="AC11" i="1" s="1"/>
  <c r="AH10" i="1"/>
  <c r="AE10" i="1"/>
  <c r="AA10" i="1"/>
  <c r="Y10" i="1"/>
  <c r="X10" i="1"/>
  <c r="AC10" i="1" s="1"/>
  <c r="AH9" i="1"/>
  <c r="AE9" i="1"/>
  <c r="AA9" i="1"/>
  <c r="Y9" i="1"/>
  <c r="X9" i="1"/>
  <c r="AC9" i="1" s="1"/>
  <c r="AH8" i="1"/>
  <c r="AE8" i="1"/>
  <c r="AB8" i="1"/>
  <c r="AA8" i="1"/>
  <c r="Y8" i="1"/>
  <c r="AD8" i="1" s="1"/>
  <c r="X8" i="1"/>
  <c r="AC8" i="1" s="1"/>
  <c r="F37" i="2" l="1"/>
  <c r="H23" i="2"/>
  <c r="H22" i="2"/>
  <c r="AB22" i="2"/>
  <c r="AB24" i="2" s="1"/>
  <c r="AB25" i="2" s="1"/>
  <c r="AB23" i="2"/>
  <c r="M54" i="2"/>
  <c r="L51" i="2"/>
  <c r="M53" i="2"/>
  <c r="K50" i="2"/>
  <c r="J49" i="2"/>
  <c r="L53" i="2"/>
  <c r="N54" i="2"/>
  <c r="N51" i="2"/>
  <c r="J54" i="2"/>
  <c r="L52" i="2"/>
  <c r="N49" i="2"/>
  <c r="K53" i="2"/>
  <c r="M51" i="2"/>
  <c r="J51" i="2"/>
  <c r="J50" i="2"/>
  <c r="M50" i="2"/>
  <c r="L54" i="2"/>
  <c r="K52" i="2"/>
  <c r="K51" i="2"/>
  <c r="N50" i="2"/>
  <c r="K49" i="2"/>
  <c r="M52" i="2"/>
  <c r="N53" i="2"/>
  <c r="N52" i="2"/>
  <c r="M49" i="2"/>
  <c r="K54" i="2"/>
  <c r="J53" i="2"/>
  <c r="J52" i="2"/>
  <c r="L50" i="2"/>
  <c r="L49" i="2"/>
  <c r="AB331" i="1"/>
  <c r="AD331" i="1"/>
  <c r="AB324" i="1"/>
  <c r="AD324" i="1"/>
  <c r="AB322" i="1"/>
  <c r="AD322" i="1"/>
  <c r="AD321" i="1"/>
  <c r="AB321" i="1"/>
  <c r="AI321" i="1" s="1"/>
  <c r="AJ321" i="1" s="1"/>
  <c r="AK321" i="1" s="1"/>
  <c r="AD320" i="1"/>
  <c r="AB320" i="1"/>
  <c r="AI320" i="1" s="1"/>
  <c r="AJ320" i="1" s="1"/>
  <c r="AK320" i="1" s="1"/>
  <c r="AD319" i="1"/>
  <c r="AB319" i="1"/>
  <c r="AB318" i="1"/>
  <c r="AI318" i="1" s="1"/>
  <c r="AJ318" i="1" s="1"/>
  <c r="AK318" i="1" s="1"/>
  <c r="AD318" i="1"/>
  <c r="AB316" i="1"/>
  <c r="AI316" i="1" s="1"/>
  <c r="AJ316" i="1" s="1"/>
  <c r="AK316" i="1" s="1"/>
  <c r="AD316" i="1"/>
  <c r="AD315" i="1"/>
  <c r="AB315" i="1"/>
  <c r="AD314" i="1"/>
  <c r="AB314" i="1"/>
  <c r="AD313" i="1"/>
  <c r="AB313" i="1"/>
  <c r="AI313" i="1" s="1"/>
  <c r="AJ313" i="1" s="1"/>
  <c r="AK313" i="1" s="1"/>
  <c r="AB312" i="1"/>
  <c r="AD312" i="1"/>
  <c r="AD311" i="1"/>
  <c r="AB311" i="1"/>
  <c r="AI311" i="1" s="1"/>
  <c r="AJ311" i="1" s="1"/>
  <c r="AK311" i="1" s="1"/>
  <c r="AD310" i="1"/>
  <c r="AB310" i="1"/>
  <c r="AI310" i="1" s="1"/>
  <c r="AJ310" i="1" s="1"/>
  <c r="AK310" i="1" s="1"/>
  <c r="AB309" i="1"/>
  <c r="AI309" i="1" s="1"/>
  <c r="AJ309" i="1" s="1"/>
  <c r="AK309" i="1" s="1"/>
  <c r="AD309" i="1"/>
  <c r="AB308" i="1"/>
  <c r="AI308" i="1" s="1"/>
  <c r="AJ308" i="1" s="1"/>
  <c r="AK308" i="1" s="1"/>
  <c r="AD308" i="1"/>
  <c r="AB307" i="1"/>
  <c r="AD307" i="1"/>
  <c r="AD303" i="1"/>
  <c r="AB303" i="1"/>
  <c r="AI303" i="1" s="1"/>
  <c r="AJ303" i="1" s="1"/>
  <c r="AK303" i="1" s="1"/>
  <c r="AB302" i="1"/>
  <c r="AI302" i="1" s="1"/>
  <c r="AJ302" i="1" s="1"/>
  <c r="AK302" i="1" s="1"/>
  <c r="AD302" i="1"/>
  <c r="AB301" i="1"/>
  <c r="AD301" i="1"/>
  <c r="AD300" i="1"/>
  <c r="AB300" i="1"/>
  <c r="AI300" i="1" s="1"/>
  <c r="AJ300" i="1" s="1"/>
  <c r="AK300" i="1" s="1"/>
  <c r="AD299" i="1"/>
  <c r="AB299" i="1"/>
  <c r="AI299" i="1" s="1"/>
  <c r="AJ299" i="1" s="1"/>
  <c r="AK299" i="1" s="1"/>
  <c r="AB298" i="1"/>
  <c r="AI298" i="1" s="1"/>
  <c r="AJ298" i="1" s="1"/>
  <c r="AK298" i="1" s="1"/>
  <c r="AD298" i="1"/>
  <c r="AD297" i="1"/>
  <c r="AB297" i="1"/>
  <c r="AI297" i="1" s="1"/>
  <c r="AJ297" i="1" s="1"/>
  <c r="AK297" i="1" s="1"/>
  <c r="AD296" i="1"/>
  <c r="AB296" i="1"/>
  <c r="AI296" i="1" s="1"/>
  <c r="AJ296" i="1" s="1"/>
  <c r="AK296" i="1" s="1"/>
  <c r="AB295" i="1"/>
  <c r="AI295" i="1" s="1"/>
  <c r="AJ295" i="1" s="1"/>
  <c r="AK295" i="1" s="1"/>
  <c r="AD295" i="1"/>
  <c r="AD294" i="1"/>
  <c r="AB294" i="1"/>
  <c r="AI294" i="1" s="1"/>
  <c r="AJ294" i="1" s="1"/>
  <c r="AK294" i="1" s="1"/>
  <c r="AD293" i="1"/>
  <c r="AB293" i="1"/>
  <c r="AI293" i="1" s="1"/>
  <c r="AJ293" i="1" s="1"/>
  <c r="AK293" i="1" s="1"/>
  <c r="AD292" i="1"/>
  <c r="AB292" i="1"/>
  <c r="AD291" i="1"/>
  <c r="AB291" i="1"/>
  <c r="AI291" i="1" s="1"/>
  <c r="AJ291" i="1" s="1"/>
  <c r="AK291" i="1" s="1"/>
  <c r="AB290" i="1"/>
  <c r="AD290" i="1"/>
  <c r="AB289" i="1"/>
  <c r="AD289" i="1"/>
  <c r="AB288" i="1"/>
  <c r="AI288" i="1" s="1"/>
  <c r="AJ288" i="1" s="1"/>
  <c r="AK288" i="1" s="1"/>
  <c r="AD288" i="1"/>
  <c r="AD286" i="1"/>
  <c r="AB286" i="1"/>
  <c r="AI286" i="1" s="1"/>
  <c r="AJ286" i="1" s="1"/>
  <c r="AK286" i="1" s="1"/>
  <c r="AB285" i="1"/>
  <c r="AD285" i="1"/>
  <c r="AD284" i="1"/>
  <c r="AB284" i="1"/>
  <c r="AI284" i="1" s="1"/>
  <c r="AJ284" i="1" s="1"/>
  <c r="AK284" i="1" s="1"/>
  <c r="AB279" i="1"/>
  <c r="AI279" i="1" s="1"/>
  <c r="AJ279" i="1" s="1"/>
  <c r="AK279" i="1" s="1"/>
  <c r="AD279" i="1"/>
  <c r="AD278" i="1"/>
  <c r="AB278" i="1"/>
  <c r="AI278" i="1" s="1"/>
  <c r="AJ278" i="1" s="1"/>
  <c r="AK278" i="1" s="1"/>
  <c r="AB277" i="1"/>
  <c r="AD277" i="1"/>
  <c r="AD276" i="1"/>
  <c r="AB276" i="1"/>
  <c r="AI276" i="1" s="1"/>
  <c r="AJ276" i="1" s="1"/>
  <c r="AK276" i="1" s="1"/>
  <c r="AB275" i="1"/>
  <c r="AI275" i="1" s="1"/>
  <c r="AJ275" i="1" s="1"/>
  <c r="AK275" i="1" s="1"/>
  <c r="AD275" i="1"/>
  <c r="AB274" i="1"/>
  <c r="AD274" i="1"/>
  <c r="AD273" i="1"/>
  <c r="AB273" i="1"/>
  <c r="AI273" i="1" s="1"/>
  <c r="AJ273" i="1" s="1"/>
  <c r="AK273" i="1" s="1"/>
  <c r="AB272" i="1"/>
  <c r="AI272" i="1" s="1"/>
  <c r="AJ272" i="1" s="1"/>
  <c r="AK272" i="1" s="1"/>
  <c r="AD272" i="1"/>
  <c r="AD271" i="1"/>
  <c r="AB271" i="1"/>
  <c r="AI271" i="1" s="1"/>
  <c r="AJ271" i="1" s="1"/>
  <c r="AK271" i="1" s="1"/>
  <c r="AB270" i="1"/>
  <c r="AI270" i="1" s="1"/>
  <c r="AJ270" i="1" s="1"/>
  <c r="AK270" i="1" s="1"/>
  <c r="AD270" i="1"/>
  <c r="AB269" i="1"/>
  <c r="AI269" i="1" s="1"/>
  <c r="AJ269" i="1" s="1"/>
  <c r="AK269" i="1" s="1"/>
  <c r="AD269" i="1"/>
  <c r="AB268" i="1"/>
  <c r="AI268" i="1" s="1"/>
  <c r="AJ268" i="1" s="1"/>
  <c r="AK268" i="1" s="1"/>
  <c r="AD268" i="1"/>
  <c r="AD267" i="1"/>
  <c r="AB267" i="1"/>
  <c r="AI267" i="1" s="1"/>
  <c r="AJ267" i="1" s="1"/>
  <c r="AK267" i="1" s="1"/>
  <c r="AD266" i="1"/>
  <c r="AB266" i="1"/>
  <c r="AI266" i="1" s="1"/>
  <c r="AJ266" i="1" s="1"/>
  <c r="AK266" i="1" s="1"/>
  <c r="AD265" i="1"/>
  <c r="AB265" i="1"/>
  <c r="AI265" i="1" s="1"/>
  <c r="AJ265" i="1" s="1"/>
  <c r="AK265" i="1" s="1"/>
  <c r="AD264" i="1"/>
  <c r="AB264" i="1"/>
  <c r="AI264" i="1" s="1"/>
  <c r="AJ264" i="1" s="1"/>
  <c r="AK264" i="1" s="1"/>
  <c r="AD262" i="1"/>
  <c r="AB262" i="1"/>
  <c r="AI262" i="1" s="1"/>
  <c r="AJ262" i="1" s="1"/>
  <c r="AK262" i="1" s="1"/>
  <c r="AB258" i="1"/>
  <c r="AD258" i="1"/>
  <c r="AB257" i="1"/>
  <c r="AI257" i="1" s="1"/>
  <c r="AJ257" i="1" s="1"/>
  <c r="AK257" i="1" s="1"/>
  <c r="AD257" i="1"/>
  <c r="AB256" i="1"/>
  <c r="AD256" i="1"/>
  <c r="AB255" i="1"/>
  <c r="AD255" i="1"/>
  <c r="AD254" i="1"/>
  <c r="AB254" i="1"/>
  <c r="AI254" i="1" s="1"/>
  <c r="AJ254" i="1" s="1"/>
  <c r="AK254" i="1" s="1"/>
  <c r="AB252" i="1"/>
  <c r="AD252" i="1"/>
  <c r="AB251" i="1"/>
  <c r="AI251" i="1" s="1"/>
  <c r="AJ251" i="1" s="1"/>
  <c r="AK251" i="1" s="1"/>
  <c r="AD251" i="1"/>
  <c r="AB249" i="1"/>
  <c r="AD249" i="1"/>
  <c r="AD247" i="1"/>
  <c r="AB247" i="1"/>
  <c r="AI247" i="1" s="1"/>
  <c r="AJ247" i="1" s="1"/>
  <c r="AK247" i="1" s="1"/>
  <c r="AB245" i="1"/>
  <c r="AI245" i="1" s="1"/>
  <c r="AJ245" i="1" s="1"/>
  <c r="AK245" i="1" s="1"/>
  <c r="AD245" i="1"/>
  <c r="AB235" i="1"/>
  <c r="AD235" i="1"/>
  <c r="AB231" i="1"/>
  <c r="AD231" i="1"/>
  <c r="AD230" i="1"/>
  <c r="AB230" i="1"/>
  <c r="AI230" i="1" s="1"/>
  <c r="AJ230" i="1" s="1"/>
  <c r="AK230" i="1" s="1"/>
  <c r="AB229" i="1"/>
  <c r="AD229" i="1"/>
  <c r="AB228" i="1"/>
  <c r="AI228" i="1" s="1"/>
  <c r="AJ228" i="1" s="1"/>
  <c r="AK228" i="1" s="1"/>
  <c r="AD228" i="1"/>
  <c r="AB227" i="1"/>
  <c r="AD227" i="1"/>
  <c r="AB226" i="1"/>
  <c r="AI226" i="1" s="1"/>
  <c r="AJ226" i="1" s="1"/>
  <c r="AK226" i="1" s="1"/>
  <c r="AD226" i="1"/>
  <c r="AD214" i="1"/>
  <c r="AB214" i="1"/>
  <c r="AD212" i="1"/>
  <c r="AB212" i="1"/>
  <c r="AI212" i="1" s="1"/>
  <c r="AJ212" i="1" s="1"/>
  <c r="AK212" i="1" s="1"/>
  <c r="AD208" i="1"/>
  <c r="AB208" i="1"/>
  <c r="AI208" i="1" s="1"/>
  <c r="AJ208" i="1" s="1"/>
  <c r="AK208" i="1" s="1"/>
  <c r="AB207" i="1"/>
  <c r="AD207" i="1"/>
  <c r="AD206" i="1"/>
  <c r="AB206" i="1"/>
  <c r="AI206" i="1" s="1"/>
  <c r="AJ206" i="1" s="1"/>
  <c r="AK206" i="1" s="1"/>
  <c r="AD204" i="1"/>
  <c r="AB204" i="1"/>
  <c r="AB202" i="1"/>
  <c r="AI202" i="1" s="1"/>
  <c r="AJ202" i="1" s="1"/>
  <c r="AK202" i="1" s="1"/>
  <c r="AD202" i="1"/>
  <c r="AD201" i="1"/>
  <c r="AB201" i="1"/>
  <c r="AI201" i="1" s="1"/>
  <c r="AJ201" i="1" s="1"/>
  <c r="AK201" i="1" s="1"/>
  <c r="AD200" i="1"/>
  <c r="AB200" i="1"/>
  <c r="AI200" i="1" s="1"/>
  <c r="AJ200" i="1" s="1"/>
  <c r="AK200" i="1" s="1"/>
  <c r="AB195" i="1"/>
  <c r="AD195" i="1"/>
  <c r="AD191" i="1"/>
  <c r="AB191" i="1"/>
  <c r="AI191" i="1" s="1"/>
  <c r="AJ191" i="1" s="1"/>
  <c r="AK191" i="1" s="1"/>
  <c r="AD190" i="1"/>
  <c r="AB190" i="1"/>
  <c r="AD189" i="1"/>
  <c r="AB189" i="1"/>
  <c r="AD188" i="1"/>
  <c r="AB188" i="1"/>
  <c r="AI188" i="1" s="1"/>
  <c r="AJ188" i="1" s="1"/>
  <c r="AK188" i="1" s="1"/>
  <c r="AB187" i="1"/>
  <c r="AD187" i="1"/>
  <c r="AB186" i="1"/>
  <c r="AI186" i="1" s="1"/>
  <c r="AJ186" i="1" s="1"/>
  <c r="AK186" i="1" s="1"/>
  <c r="AD186" i="1"/>
  <c r="AD185" i="1"/>
  <c r="AB185" i="1"/>
  <c r="AI185" i="1" s="1"/>
  <c r="AJ185" i="1" s="1"/>
  <c r="AK185" i="1" s="1"/>
  <c r="AB184" i="1"/>
  <c r="AD184" i="1"/>
  <c r="AD183" i="1"/>
  <c r="AB183" i="1"/>
  <c r="AI183" i="1" s="1"/>
  <c r="AJ183" i="1" s="1"/>
  <c r="AK183" i="1" s="1"/>
  <c r="AD182" i="1"/>
  <c r="AB182" i="1"/>
  <c r="AI182" i="1" s="1"/>
  <c r="AJ182" i="1" s="1"/>
  <c r="AK182" i="1" s="1"/>
  <c r="AB179" i="1"/>
  <c r="AD179" i="1"/>
  <c r="AB175" i="1"/>
  <c r="AD175" i="1"/>
  <c r="AD174" i="1"/>
  <c r="AB174" i="1"/>
  <c r="AI174" i="1" s="1"/>
  <c r="AJ174" i="1" s="1"/>
  <c r="AK174" i="1" s="1"/>
  <c r="AB173" i="1"/>
  <c r="AD173" i="1"/>
  <c r="AD172" i="1"/>
  <c r="AB172" i="1"/>
  <c r="AB171" i="1"/>
  <c r="AI171" i="1" s="1"/>
  <c r="AJ171" i="1" s="1"/>
  <c r="AK171" i="1" s="1"/>
  <c r="AD171" i="1"/>
  <c r="AB170" i="1"/>
  <c r="AD170" i="1"/>
  <c r="AD169" i="1"/>
  <c r="AB169" i="1"/>
  <c r="AI169" i="1" s="1"/>
  <c r="AJ169" i="1" s="1"/>
  <c r="AK169" i="1" s="1"/>
  <c r="AD168" i="1"/>
  <c r="AB168" i="1"/>
  <c r="AB166" i="1"/>
  <c r="AD166" i="1"/>
  <c r="AD165" i="1"/>
  <c r="AB165" i="1"/>
  <c r="AI165" i="1" s="1"/>
  <c r="AJ165" i="1" s="1"/>
  <c r="AK165" i="1" s="1"/>
  <c r="AD164" i="1"/>
  <c r="AB164" i="1"/>
  <c r="AI164" i="1" s="1"/>
  <c r="AJ164" i="1" s="1"/>
  <c r="AK164" i="1" s="1"/>
  <c r="AB155" i="1"/>
  <c r="AD155" i="1"/>
  <c r="AB151" i="1"/>
  <c r="AD151" i="1"/>
  <c r="AB149" i="1"/>
  <c r="AD149" i="1"/>
  <c r="AD148" i="1"/>
  <c r="AB148" i="1"/>
  <c r="AI148" i="1" s="1"/>
  <c r="AJ148" i="1" s="1"/>
  <c r="AK148" i="1" s="1"/>
  <c r="AD147" i="1"/>
  <c r="AB147" i="1"/>
  <c r="AI147" i="1" s="1"/>
  <c r="AJ147" i="1" s="1"/>
  <c r="AK147" i="1" s="1"/>
  <c r="AB146" i="1"/>
  <c r="AD146" i="1"/>
  <c r="AD145" i="1"/>
  <c r="AB145" i="1"/>
  <c r="AI145" i="1" s="1"/>
  <c r="AJ145" i="1" s="1"/>
  <c r="AK145" i="1" s="1"/>
  <c r="AB139" i="1"/>
  <c r="AD139" i="1"/>
  <c r="AD138" i="1"/>
  <c r="AB138" i="1"/>
  <c r="AI138" i="1" s="1"/>
  <c r="AJ138" i="1" s="1"/>
  <c r="AK138" i="1" s="1"/>
  <c r="AD137" i="1"/>
  <c r="AB137" i="1"/>
  <c r="AI137" i="1" s="1"/>
  <c r="AJ137" i="1" s="1"/>
  <c r="AK137" i="1" s="1"/>
  <c r="AD136" i="1"/>
  <c r="AB136" i="1"/>
  <c r="AI136" i="1" s="1"/>
  <c r="AJ136" i="1" s="1"/>
  <c r="AK136" i="1" s="1"/>
  <c r="AD135" i="1"/>
  <c r="AB135" i="1"/>
  <c r="AI135" i="1" s="1"/>
  <c r="AJ135" i="1" s="1"/>
  <c r="AK135" i="1" s="1"/>
  <c r="AD134" i="1"/>
  <c r="AB134" i="1"/>
  <c r="AI134" i="1" s="1"/>
  <c r="AJ134" i="1" s="1"/>
  <c r="AK134" i="1" s="1"/>
  <c r="AB133" i="1"/>
  <c r="AD133" i="1"/>
  <c r="AB132" i="1"/>
  <c r="AD132" i="1"/>
  <c r="AD131" i="1"/>
  <c r="AB131" i="1"/>
  <c r="AI131" i="1" s="1"/>
  <c r="AJ131" i="1" s="1"/>
  <c r="AK131" i="1" s="1"/>
  <c r="AD130" i="1"/>
  <c r="AB130" i="1"/>
  <c r="AI130" i="1" s="1"/>
  <c r="AJ130" i="1" s="1"/>
  <c r="AK130" i="1" s="1"/>
  <c r="AD126" i="1"/>
  <c r="AB126" i="1"/>
  <c r="AI126" i="1" s="1"/>
  <c r="AJ126" i="1" s="1"/>
  <c r="AK126" i="1" s="1"/>
  <c r="AB125" i="1"/>
  <c r="AD125" i="1"/>
  <c r="AB124" i="1"/>
  <c r="AD124" i="1"/>
  <c r="AD113" i="1"/>
  <c r="AB113" i="1"/>
  <c r="AI113" i="1" s="1"/>
  <c r="AJ113" i="1" s="1"/>
  <c r="AK113" i="1" s="1"/>
  <c r="AD112" i="1"/>
  <c r="AB112" i="1"/>
  <c r="AI112" i="1" s="1"/>
  <c r="AJ112" i="1" s="1"/>
  <c r="AK112" i="1" s="1"/>
  <c r="AD111" i="1"/>
  <c r="AB111" i="1"/>
  <c r="AI111" i="1" s="1"/>
  <c r="AJ111" i="1" s="1"/>
  <c r="AK111" i="1" s="1"/>
  <c r="AD106" i="1"/>
  <c r="AB106" i="1"/>
  <c r="AI106" i="1" s="1"/>
  <c r="AJ106" i="1" s="1"/>
  <c r="AK106" i="1" s="1"/>
  <c r="AD105" i="1"/>
  <c r="AB105" i="1"/>
  <c r="AI105" i="1" s="1"/>
  <c r="AJ105" i="1" s="1"/>
  <c r="AK105" i="1" s="1"/>
  <c r="AB104" i="1"/>
  <c r="AD104" i="1"/>
  <c r="AD102" i="1"/>
  <c r="AB102" i="1"/>
  <c r="AI102" i="1" s="1"/>
  <c r="AJ102" i="1" s="1"/>
  <c r="AK102" i="1" s="1"/>
  <c r="AD101" i="1"/>
  <c r="AB101" i="1"/>
  <c r="AI101" i="1" s="1"/>
  <c r="AJ101" i="1" s="1"/>
  <c r="AK101" i="1" s="1"/>
  <c r="AB100" i="1"/>
  <c r="AD100" i="1"/>
  <c r="AB99" i="1"/>
  <c r="AD99" i="1"/>
  <c r="AB98" i="1"/>
  <c r="AD98" i="1"/>
  <c r="AB91" i="1"/>
  <c r="AD91" i="1"/>
  <c r="AD90" i="1"/>
  <c r="AB90" i="1"/>
  <c r="AI90" i="1" s="1"/>
  <c r="AJ90" i="1" s="1"/>
  <c r="AK90" i="1" s="1"/>
  <c r="AB86" i="1"/>
  <c r="AD86" i="1"/>
  <c r="AD84" i="1"/>
  <c r="AB84" i="1"/>
  <c r="AI84" i="1" s="1"/>
  <c r="AJ84" i="1" s="1"/>
  <c r="AK84" i="1" s="1"/>
  <c r="AB83" i="1"/>
  <c r="AD83" i="1"/>
  <c r="AB81" i="1"/>
  <c r="AD81" i="1"/>
  <c r="AB80" i="1"/>
  <c r="AD80" i="1"/>
  <c r="AB79" i="1"/>
  <c r="AD79" i="1"/>
  <c r="AB78" i="1"/>
  <c r="AD78" i="1"/>
  <c r="AD75" i="1"/>
  <c r="AB75" i="1"/>
  <c r="AI75" i="1" s="1"/>
  <c r="AJ75" i="1" s="1"/>
  <c r="AK75" i="1" s="1"/>
  <c r="AD74" i="1"/>
  <c r="AB74" i="1"/>
  <c r="AI74" i="1" s="1"/>
  <c r="AJ74" i="1" s="1"/>
  <c r="AK74" i="1" s="1"/>
  <c r="AB73" i="1"/>
  <c r="AD73" i="1"/>
  <c r="AB72" i="1"/>
  <c r="AD72" i="1"/>
  <c r="AB68" i="1"/>
  <c r="AD68" i="1"/>
  <c r="AB67" i="1"/>
  <c r="AI67" i="1" s="1"/>
  <c r="AJ67" i="1" s="1"/>
  <c r="AK67" i="1" s="1"/>
  <c r="AD67" i="1"/>
  <c r="AB64" i="1"/>
  <c r="AD64" i="1"/>
  <c r="AB58" i="1"/>
  <c r="AD58" i="1"/>
  <c r="AB57" i="1"/>
  <c r="AD57" i="1"/>
  <c r="AD56" i="1"/>
  <c r="AB56" i="1"/>
  <c r="AI56" i="1" s="1"/>
  <c r="AJ56" i="1" s="1"/>
  <c r="AK56" i="1" s="1"/>
  <c r="AB55" i="1"/>
  <c r="AD55" i="1"/>
  <c r="AB54" i="1"/>
  <c r="AD54" i="1"/>
  <c r="AD53" i="1"/>
  <c r="AB53" i="1"/>
  <c r="AI53" i="1" s="1"/>
  <c r="AJ53" i="1" s="1"/>
  <c r="AK53" i="1" s="1"/>
  <c r="AB52" i="1"/>
  <c r="AD52" i="1"/>
  <c r="AB48" i="1"/>
  <c r="AD48" i="1"/>
  <c r="AB47" i="1"/>
  <c r="AD47" i="1"/>
  <c r="AB46" i="1"/>
  <c r="AD46" i="1"/>
  <c r="AD44" i="1"/>
  <c r="AB44" i="1"/>
  <c r="AI44" i="1" s="1"/>
  <c r="AJ44" i="1" s="1"/>
  <c r="AK44" i="1" s="1"/>
  <c r="AD43" i="1"/>
  <c r="AB43" i="1"/>
  <c r="AI43" i="1" s="1"/>
  <c r="AJ43" i="1" s="1"/>
  <c r="AK43" i="1" s="1"/>
  <c r="AB35" i="1"/>
  <c r="AD35" i="1"/>
  <c r="AD34" i="1"/>
  <c r="AB34" i="1"/>
  <c r="AI34" i="1" s="1"/>
  <c r="AJ34" i="1" s="1"/>
  <c r="AK34" i="1" s="1"/>
  <c r="AD33" i="1"/>
  <c r="AB33" i="1"/>
  <c r="AI33" i="1" s="1"/>
  <c r="AJ33" i="1" s="1"/>
  <c r="AK33" i="1" s="1"/>
  <c r="AD32" i="1"/>
  <c r="AB32" i="1"/>
  <c r="AI32" i="1" s="1"/>
  <c r="AJ32" i="1" s="1"/>
  <c r="AK32" i="1" s="1"/>
  <c r="AD31" i="1"/>
  <c r="AB31" i="1"/>
  <c r="AI31" i="1" s="1"/>
  <c r="AJ31" i="1" s="1"/>
  <c r="AK31" i="1" s="1"/>
  <c r="AB26" i="1"/>
  <c r="AD26" i="1"/>
  <c r="AB24" i="1"/>
  <c r="AD24" i="1"/>
  <c r="AD16" i="1"/>
  <c r="AB16" i="1"/>
  <c r="AI16" i="1" s="1"/>
  <c r="AJ16" i="1" s="1"/>
  <c r="AK16" i="1" s="1"/>
  <c r="AD15" i="1"/>
  <c r="AB15" i="1"/>
  <c r="AI15" i="1" s="1"/>
  <c r="AJ15" i="1" s="1"/>
  <c r="AK15" i="1" s="1"/>
  <c r="AD14" i="1"/>
  <c r="AB14" i="1"/>
  <c r="AI14" i="1" s="1"/>
  <c r="AJ14" i="1" s="1"/>
  <c r="AK14" i="1" s="1"/>
  <c r="AD12" i="1"/>
  <c r="AB12" i="1"/>
  <c r="AI12" i="1" s="1"/>
  <c r="AJ12" i="1" s="1"/>
  <c r="AK12" i="1" s="1"/>
  <c r="AD11" i="1"/>
  <c r="AB11" i="1"/>
  <c r="AB10" i="1"/>
  <c r="AD10" i="1"/>
  <c r="AB9" i="1"/>
  <c r="AI9" i="1" s="1"/>
  <c r="AJ9" i="1" s="1"/>
  <c r="AK9" i="1" s="1"/>
  <c r="AD9" i="1"/>
  <c r="AI123" i="1"/>
  <c r="AJ123" i="1" s="1"/>
  <c r="AK123" i="1" s="1"/>
  <c r="AI85" i="1"/>
  <c r="AJ85" i="1" s="1"/>
  <c r="AK85" i="1" s="1"/>
  <c r="AI30" i="1"/>
  <c r="AJ30" i="1" s="1"/>
  <c r="AK30" i="1" s="1"/>
  <c r="AI13" i="1"/>
  <c r="AJ13" i="1" s="1"/>
  <c r="AK13" i="1" s="1"/>
  <c r="AI61" i="1"/>
  <c r="AJ61" i="1" s="1"/>
  <c r="AK61" i="1" s="1"/>
  <c r="AI8" i="1"/>
  <c r="AJ8" i="1" s="1"/>
  <c r="AK8" i="1" s="1"/>
  <c r="AI323" i="1"/>
  <c r="AJ323" i="1" s="1"/>
  <c r="AK323" i="1" s="1"/>
  <c r="AI253" i="1"/>
  <c r="AJ253" i="1" s="1"/>
  <c r="AK253" i="1" s="1"/>
  <c r="AI205" i="1"/>
  <c r="AJ205" i="1" s="1"/>
  <c r="AK205" i="1" s="1"/>
  <c r="AI225" i="1"/>
  <c r="AJ225" i="1" s="1"/>
  <c r="AK225" i="1" s="1"/>
  <c r="AI317" i="1"/>
  <c r="AJ317" i="1" s="1"/>
  <c r="AK317" i="1" s="1"/>
  <c r="AI287" i="1"/>
  <c r="AJ287" i="1" s="1"/>
  <c r="AK287" i="1" s="1"/>
  <c r="AI248" i="1"/>
  <c r="AJ248" i="1" s="1"/>
  <c r="AK248" i="1" s="1"/>
  <c r="AI213" i="1"/>
  <c r="AJ213" i="1" s="1"/>
  <c r="AK213" i="1" s="1"/>
  <c r="H24" i="2" l="1"/>
  <c r="H25" i="2" s="1"/>
  <c r="AI166" i="1"/>
  <c r="AJ166" i="1" s="1"/>
  <c r="AK166" i="1" s="1"/>
  <c r="AI155" i="1"/>
  <c r="AJ155" i="1" s="1"/>
  <c r="AK155" i="1" s="1"/>
  <c r="AI151" i="1"/>
  <c r="AJ151" i="1" s="1"/>
  <c r="AK151" i="1" s="1"/>
  <c r="AI149" i="1"/>
  <c r="AJ149" i="1" s="1"/>
  <c r="AK149" i="1" s="1"/>
  <c r="AI146" i="1"/>
  <c r="AJ146" i="1" s="1"/>
  <c r="AK146" i="1" s="1"/>
  <c r="AI139" i="1"/>
  <c r="AJ139" i="1" s="1"/>
  <c r="AK139" i="1" s="1"/>
  <c r="AI133" i="1"/>
  <c r="AJ133" i="1" s="1"/>
  <c r="AK133" i="1" s="1"/>
  <c r="AI132" i="1"/>
  <c r="AJ132" i="1" s="1"/>
  <c r="AK132" i="1" s="1"/>
  <c r="AK152" i="1" s="1"/>
  <c r="AO8" i="1" s="1"/>
  <c r="AI125" i="1"/>
  <c r="AJ125" i="1" s="1"/>
  <c r="AK125" i="1" s="1"/>
  <c r="AI124" i="1"/>
  <c r="AJ124" i="1" s="1"/>
  <c r="AK124" i="1" s="1"/>
  <c r="AK127" i="1"/>
  <c r="AO20" i="1" s="1"/>
  <c r="AI104" i="1"/>
  <c r="AJ104" i="1" s="1"/>
  <c r="AK104" i="1" s="1"/>
  <c r="AI100" i="1"/>
  <c r="AJ100" i="1" s="1"/>
  <c r="AK100" i="1" s="1"/>
  <c r="AI99" i="1"/>
  <c r="AJ99" i="1" s="1"/>
  <c r="AK99" i="1" s="1"/>
  <c r="AI98" i="1"/>
  <c r="AJ98" i="1" s="1"/>
  <c r="AK98" i="1" s="1"/>
  <c r="AI91" i="1"/>
  <c r="AJ91" i="1" s="1"/>
  <c r="AK91" i="1" s="1"/>
  <c r="AK107" i="1" s="1"/>
  <c r="AO14" i="1" s="1"/>
  <c r="AI86" i="1"/>
  <c r="AJ86" i="1" s="1"/>
  <c r="AK86" i="1" s="1"/>
  <c r="AI83" i="1"/>
  <c r="AJ83" i="1" s="1"/>
  <c r="AK83" i="1" s="1"/>
  <c r="AI81" i="1"/>
  <c r="AJ81" i="1" s="1"/>
  <c r="AK81" i="1" s="1"/>
  <c r="AI80" i="1"/>
  <c r="AJ80" i="1" s="1"/>
  <c r="AK80" i="1" s="1"/>
  <c r="AI79" i="1"/>
  <c r="AJ79" i="1" s="1"/>
  <c r="AK79" i="1" s="1"/>
  <c r="AI78" i="1"/>
  <c r="AJ78" i="1" s="1"/>
  <c r="AK78" i="1" s="1"/>
  <c r="AI73" i="1"/>
  <c r="AJ73" i="1" s="1"/>
  <c r="AK73" i="1" s="1"/>
  <c r="AI72" i="1"/>
  <c r="AJ72" i="1" s="1"/>
  <c r="AK72" i="1" s="1"/>
  <c r="AK87" i="1" s="1"/>
  <c r="AO16" i="1" s="1"/>
  <c r="AI68" i="1"/>
  <c r="AJ68" i="1" s="1"/>
  <c r="AK68" i="1" s="1"/>
  <c r="AI11" i="1"/>
  <c r="AJ11" i="1" s="1"/>
  <c r="AK11" i="1" s="1"/>
  <c r="AI10" i="1"/>
  <c r="AJ10" i="1" s="1"/>
  <c r="AK10" i="1" s="1"/>
  <c r="AI64" i="1"/>
  <c r="AJ64" i="1" s="1"/>
  <c r="AK64" i="1" s="1"/>
  <c r="AI58" i="1"/>
  <c r="AJ58" i="1" s="1"/>
  <c r="AK58" i="1" s="1"/>
  <c r="AI57" i="1"/>
  <c r="AJ57" i="1" s="1"/>
  <c r="AK57" i="1" s="1"/>
  <c r="AI55" i="1"/>
  <c r="AJ55" i="1" s="1"/>
  <c r="AK55" i="1" s="1"/>
  <c r="AI54" i="1"/>
  <c r="AJ54" i="1" s="1"/>
  <c r="AK54" i="1" s="1"/>
  <c r="AI52" i="1"/>
  <c r="AJ52" i="1" s="1"/>
  <c r="AK52" i="1" s="1"/>
  <c r="AI48" i="1"/>
  <c r="AJ48" i="1" s="1"/>
  <c r="AK48" i="1" s="1"/>
  <c r="AI47" i="1"/>
  <c r="AJ47" i="1" s="1"/>
  <c r="AK47" i="1" s="1"/>
  <c r="AI46" i="1"/>
  <c r="AJ46" i="1" s="1"/>
  <c r="AK46" i="1" s="1"/>
  <c r="AI35" i="1"/>
  <c r="AJ35" i="1" s="1"/>
  <c r="AK35" i="1" s="1"/>
  <c r="AK49" i="1" s="1"/>
  <c r="AO9" i="1" s="1"/>
  <c r="AI26" i="1"/>
  <c r="AJ26" i="1" s="1"/>
  <c r="AK26" i="1" s="1"/>
  <c r="AI24" i="1"/>
  <c r="AJ24" i="1" s="1"/>
  <c r="AK24" i="1" s="1"/>
  <c r="AI292" i="1"/>
  <c r="AJ292" i="1" s="1"/>
  <c r="AK292" i="1" s="1"/>
  <c r="AI289" i="1"/>
  <c r="AJ289" i="1" s="1"/>
  <c r="AK289" i="1" s="1"/>
  <c r="AI285" i="1"/>
  <c r="AJ285" i="1" s="1"/>
  <c r="AK285" i="1" s="1"/>
  <c r="AI274" i="1"/>
  <c r="AJ274" i="1" s="1"/>
  <c r="AK274" i="1" s="1"/>
  <c r="AI256" i="1"/>
  <c r="AJ256" i="1" s="1"/>
  <c r="AK256" i="1" s="1"/>
  <c r="AI231" i="1"/>
  <c r="AJ231" i="1" s="1"/>
  <c r="AK231" i="1" s="1"/>
  <c r="AI189" i="1"/>
  <c r="AJ189" i="1" s="1"/>
  <c r="AK189" i="1" s="1"/>
  <c r="AI179" i="1"/>
  <c r="AJ179" i="1" s="1"/>
  <c r="AK179" i="1" s="1"/>
  <c r="AI301" i="1"/>
  <c r="AJ301" i="1" s="1"/>
  <c r="AK301" i="1" s="1"/>
  <c r="AI249" i="1"/>
  <c r="AJ249" i="1" s="1"/>
  <c r="AK249" i="1" s="1"/>
  <c r="AI204" i="1"/>
  <c r="AJ204" i="1" s="1"/>
  <c r="AK204" i="1" s="1"/>
  <c r="AI190" i="1"/>
  <c r="AJ190" i="1" s="1"/>
  <c r="AK190" i="1" s="1"/>
  <c r="AI172" i="1"/>
  <c r="AJ172" i="1" s="1"/>
  <c r="AK172" i="1" s="1"/>
  <c r="AI168" i="1"/>
  <c r="AJ168" i="1" s="1"/>
  <c r="AK168" i="1" s="1"/>
  <c r="AI314" i="1"/>
  <c r="AJ314" i="1" s="1"/>
  <c r="AK314" i="1" s="1"/>
  <c r="AI307" i="1"/>
  <c r="AJ307" i="1" s="1"/>
  <c r="AK307" i="1" s="1"/>
  <c r="AI252" i="1"/>
  <c r="AJ252" i="1" s="1"/>
  <c r="AK252" i="1" s="1"/>
  <c r="AI235" i="1"/>
  <c r="AJ235" i="1" s="1"/>
  <c r="AK235" i="1" s="1"/>
  <c r="AI227" i="1"/>
  <c r="AJ227" i="1" s="1"/>
  <c r="AK227" i="1" s="1"/>
  <c r="AI214" i="1"/>
  <c r="AJ214" i="1" s="1"/>
  <c r="AK214" i="1" s="1"/>
  <c r="AI184" i="1"/>
  <c r="AJ184" i="1" s="1"/>
  <c r="AK184" i="1" s="1"/>
  <c r="AI173" i="1"/>
  <c r="AJ173" i="1" s="1"/>
  <c r="AK173" i="1" s="1"/>
  <c r="AI170" i="1"/>
  <c r="AJ170" i="1" s="1"/>
  <c r="AK170" i="1" s="1"/>
  <c r="AI331" i="1"/>
  <c r="AJ331" i="1" s="1"/>
  <c r="AK331" i="1" s="1"/>
  <c r="AI324" i="1"/>
  <c r="AJ324" i="1" s="1"/>
  <c r="AK324" i="1" s="1"/>
  <c r="AI322" i="1"/>
  <c r="AJ322" i="1" s="1"/>
  <c r="AK322" i="1" s="1"/>
  <c r="AI319" i="1"/>
  <c r="AJ319" i="1" s="1"/>
  <c r="AK319" i="1" s="1"/>
  <c r="AI315" i="1"/>
  <c r="AJ315" i="1" s="1"/>
  <c r="AK315" i="1" s="1"/>
  <c r="AI312" i="1"/>
  <c r="AJ312" i="1" s="1"/>
  <c r="AK312" i="1" s="1"/>
  <c r="AI277" i="1"/>
  <c r="AJ277" i="1" s="1"/>
  <c r="AK277" i="1" s="1"/>
  <c r="AK281" i="1" s="1"/>
  <c r="AO21" i="1" s="1"/>
  <c r="AI258" i="1"/>
  <c r="AJ258" i="1" s="1"/>
  <c r="AK258" i="1" s="1"/>
  <c r="AI290" i="1"/>
  <c r="AJ290" i="1" s="1"/>
  <c r="AK290" i="1" s="1"/>
  <c r="AI255" i="1"/>
  <c r="AJ255" i="1" s="1"/>
  <c r="AK255" i="1" s="1"/>
  <c r="AI187" i="1"/>
  <c r="AJ187" i="1" s="1"/>
  <c r="AK187" i="1" s="1"/>
  <c r="AI175" i="1"/>
  <c r="AJ175" i="1" s="1"/>
  <c r="AK175" i="1" s="1"/>
  <c r="AI229" i="1"/>
  <c r="AJ229" i="1" s="1"/>
  <c r="AK229" i="1" s="1"/>
  <c r="AK232" i="1" s="1"/>
  <c r="AO19" i="1" s="1"/>
  <c r="AI207" i="1"/>
  <c r="AJ207" i="1" s="1"/>
  <c r="AK207" i="1" s="1"/>
  <c r="AI195" i="1"/>
  <c r="AJ195" i="1" s="1"/>
  <c r="AK195" i="1" s="1"/>
  <c r="AK209" i="1" s="1"/>
  <c r="AO13" i="1" s="1"/>
  <c r="AK259" i="1" l="1"/>
  <c r="AO15" i="1" s="1"/>
  <c r="AK176" i="1"/>
  <c r="AO10" i="1" s="1"/>
  <c r="AK27" i="1"/>
  <c r="AO11" i="1" s="1"/>
  <c r="AK69" i="1"/>
  <c r="AO17" i="1" s="1"/>
  <c r="AK304" i="1"/>
  <c r="AO18" i="1" s="1"/>
  <c r="AK192" i="1"/>
  <c r="AO12" i="1" s="1"/>
  <c r="AK325" i="1"/>
  <c r="AO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tc={81CE4650-13B2-4946-85FA-0720F207B99B}</author>
    <author>tc={2556A2B0-B293-4B8E-987A-47B39708E0D3}</author>
    <author>tc={C68263A2-D5F8-4ECD-AF82-E68940D93784}</author>
    <author>tc={A2A3F336-E62E-4A91-9F53-FA9F6F01AA89}</author>
    <author>tc={DF0D104F-2CF1-499C-871B-D63A883CA57D}</author>
    <author>tc={8675030B-48EC-4BBA-9572-030F0FD229E5}</author>
    <author>tc={569731DC-62EF-40E1-BD67-8F0D8BD2D471}</author>
    <author>tc={D4EA5961-3713-478E-AC3A-4E37CA38AB32}</author>
    <author>tc={738BAB82-8B03-440B-97BB-B2605B168A99}</author>
    <author>tc={AF5A7FA6-C1A9-41D9-B087-A6A3E77E6A03}</author>
    <author>tc={55BE133C-9C06-40A5-B816-6EAA1D879DF6}</author>
    <author>tc={7C2BF5DA-D03D-4F63-AF9C-88A3559DA1ED}</author>
    <author>tc={6B556B45-85E2-4A0A-A7C5-FFA01C2786BD}</author>
    <author>tc={1531D1BB-E1F3-4DB7-BF8C-D699701EFF9B}</author>
    <author>tc={D13B3EA9-6F64-4372-B08A-5D4F83DFAE3A}</author>
    <author>tc={E76F11C3-DDA5-4861-9BA5-70AEC5D9EB4D}</author>
    <author>tc={86891FEA-AD3C-4623-8753-35148D2BA111}</author>
    <author>tc={BDC94B59-9CB1-4B8A-A4F1-DDCB45C3481B}</author>
    <author>tc={5B78E353-3E83-4E9D-9EC9-F394ECC1FA3B}</author>
    <author>tc={E067ED7C-2DE4-4170-B881-84D162107069}</author>
    <author>tc={245F9C21-A51A-4723-829A-46D0D0FF6B9C}</author>
    <author>tc={3A63647E-C0A7-48F1-A67C-EB81A4BE40C9}</author>
    <author>tc={3DC94AD2-4EFE-4874-9C1A-E7653EE48902}</author>
    <author>tc={8F6B0DD7-86DC-4D83-A7AA-A9CE0E6E8D64}</author>
    <author>tc={CC936ED7-2AC1-496D-AC80-16A8891390F9}</author>
    <author>tc={6E2402BC-33EB-4A64-9D4F-A4016E4D3924}</author>
    <author>tc={87C3A495-AE31-4CF9-839E-F8E067A87CFD}</author>
    <author>tc={CFF68F91-36E7-40F4-8F9A-BAFC70C2D3B0}</author>
    <author>tc={166B75B8-D019-4942-A4A6-A9EA68277556}</author>
    <author>tc={DF973628-9D03-4FC1-AD2F-118B149DC041}</author>
    <author>tc={0DFE5FFF-4023-4686-B68B-201017CB8E83}</author>
    <author>tc={8BB020A3-B246-405D-A05E-830CEDFB261D}</author>
    <author>tc={7D3F321C-E655-4131-BC45-6BE9123BEE89}</author>
    <author>tc={E5D3D487-7ECB-4759-8F44-975F61AE1861}</author>
    <author>tc={2922F2E4-092C-4F0C-ACD5-F96D69AA7A45}</author>
    <author>tc={E4650CED-9001-449C-B93C-995DE44835FC}</author>
    <author>tc={6F184AD4-231A-4508-8D90-E10CE79DFCA3}</author>
    <author>tc={E93A854D-5989-4CF3-939B-319993893C02}</author>
    <author>tc={E15839B7-511E-4E08-8862-2C129B2002A6}</author>
    <author>tc={E980FB8B-9D62-4A6E-AB2D-3CF02E36172F}</author>
    <author>tc={1A9BB863-CD0C-4958-8E23-6CA38BCB90C1}</author>
    <author>tc={7C153EAF-917B-4A89-9E51-1CDDA6CFE6A1}</author>
    <author>tc={FF0EAD6A-83F1-4A6F-AFD0-7F70AEBBA079}</author>
    <author>tc={E8968F6C-C89C-4488-B158-F0326C1F9272}</author>
    <author>tc={44933E3E-1994-41E2-AAEE-3AE653F152E0}</author>
    <author>tc={070CD346-229F-45FD-B779-D78098251E46}</author>
    <author>tc={79FF48D5-54D9-49F2-B1A5-43C4E856BEEC}</author>
    <author>tc={0A5657E1-A468-4AF2-AB64-4242AD166506}</author>
    <author>tc={2BCA174F-27F6-466C-868C-AFD6071BEB2A}</author>
    <author>tc={CD13716B-AB2E-4AAE-8242-2499EC100FBC}</author>
    <author>tc={30F01D28-078F-4C9C-BE0B-48AB095137A4}</author>
    <author>tc={51DC3A8E-E02E-4FA5-923A-4F25759F3877}</author>
    <author>tc={25AF0DCB-1531-4115-B336-45D6C5B0CC25}</author>
    <author>tc={3F1A2B01-EA6D-493C-91C8-D055C5734890}</author>
    <author>tc={23EDE854-BBE3-48FD-AC21-987F5A7E89F3}</author>
    <author>tc={1FE6D465-28A1-4A14-BCE1-6AEE814DDD84}</author>
    <author>tc={8866E6F7-7210-4B46-B978-CDA7E233F627}</author>
    <author>tc={851AC648-05DB-4D36-B167-5A6183DCFF1C}</author>
    <author>tc={B9543609-E7B4-4C91-AA9A-8EDE7F2E4731}</author>
    <author>tc={6CF8C685-FE84-41C5-BC52-EB872B1BDD89}</author>
    <author>tc={487CE1D8-6ABA-43C9-A29E-87A14EA062B6}</author>
    <author>tc={357A56FF-7DBA-4181-9632-8A01AD48EA3E}</author>
    <author>tc={D59FEE04-A36C-4511-8ED5-C57FEA6B8203}</author>
    <author>tc={E363F2C2-5B6F-4938-A530-7DC6C4FCA860}</author>
    <author>tc={EB747714-7EC5-4C90-95FD-9344E8AC3212}</author>
    <author>tc={6349BA58-C31B-493E-BC42-3F82B9957FF6}</author>
    <author>tc={B4DA3003-3594-44C5-8BC9-668CB41E03F7}</author>
    <author>tc={9890C261-1F2A-4A65-BA19-306DB205A602}</author>
    <author>tc={8CF5E3C6-B64A-421B-A2B3-0F81BAE43D2C}</author>
    <author>tc={0514D816-EF2D-47D8-8FF2-75374E5C3242}</author>
    <author>tc={23417209-DACA-46AF-9D65-FF0F104DE061}</author>
    <author>tc={A0F44A58-AC5B-4C3B-AEE3-8F922B7C19A8}</author>
    <author>tc={0C1A9CD1-19A3-4122-B30A-284120D92BE3}</author>
    <author>tc={7FA5645D-09A4-482D-8369-44446648EEEF}</author>
    <author>tc={D408F0D6-2C7F-47E0-BB64-A0366DD94CA3}</author>
    <author>tc={49E22A7B-24D5-45B3-9EA8-18574B87FCF9}</author>
    <author>tc={05CB57D3-C1BB-4063-AD77-4AAC17406C85}</author>
    <author>tc={48337ABF-AF70-430D-959F-D87854CCF44E}</author>
    <author>tc={84EE8EEB-4DDF-4406-BDAB-1FE97B6186B0}</author>
    <author>tc={0A724C11-DE7A-4609-9437-29511F10C6E2}</author>
    <author>tc={9EF1D8C0-86AF-4544-8ABF-816555B2B922}</author>
    <author>tc={FB8633BC-BB18-4B74-A6C3-301ADCFC2700}</author>
    <author>tc={589B5A68-C84F-42F5-8A42-AB1BAF510681}</author>
    <author>tc={A10DAD82-980C-4290-B805-DA5BF810A072}</author>
    <author>tc={6B6EC9AF-3E58-4515-97AD-74D378D6B843}</author>
    <author>tc={70A7B9F7-D6F8-490A-8BC4-67CC6C93EA7C}</author>
    <author>tc={3819DF73-D93C-4708-A172-8B0A27D26E21}</author>
    <author>tc={903AF035-F563-4C0C-8697-55116E2D0058}</author>
    <author>tc={366AEEE8-081D-424A-8D09-C1DF27DBCE4F}</author>
    <author>tc={07C3EA1C-78AE-48A4-9251-B4D4D442C87B}</author>
  </authors>
  <commentList>
    <comment ref="X7" authorId="0" shapeId="0" xr:uid="{81CE4650-13B2-4946-85FA-0720F207B9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7" authorId="1" shapeId="0" xr:uid="{2556A2B0-B293-4B8E-987A-47B39708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7" authorId="2" shapeId="0" xr:uid="{C68263A2-D5F8-4ECD-AF82-E68940D937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7" authorId="3" shapeId="0" xr:uid="{A2A3F336-E62E-4A91-9F53-FA9F6F01AA89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7" authorId="4" shapeId="0" xr:uid="{DF0D104F-2CF1-499C-871B-D63A883CA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7" authorId="5" shapeId="0" xr:uid="{8675030B-48EC-4BBA-9572-030F0FD229E5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29" authorId="6" shapeId="0" xr:uid="{569731DC-62EF-40E1-BD67-8F0D8BD2D4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29" authorId="7" shapeId="0" xr:uid="{D4EA5961-3713-478E-AC3A-4E37CA38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29" authorId="8" shapeId="0" xr:uid="{738BAB82-8B03-440B-97BB-B2605B168A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29" authorId="9" shapeId="0" xr:uid="{AF5A7FA6-C1A9-41D9-B087-A6A3E77E6A03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29" authorId="10" shapeId="0" xr:uid="{55BE133C-9C06-40A5-B816-6EAA1D879DF6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29" authorId="11" shapeId="0" xr:uid="{7C2BF5DA-D03D-4F63-AF9C-88A3559DA1ED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51" authorId="12" shapeId="0" xr:uid="{6B556B45-85E2-4A0A-A7C5-FFA01C2786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51" authorId="13" shapeId="0" xr:uid="{1531D1BB-E1F3-4DB7-BF8C-D699701EFF9B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51" authorId="14" shapeId="0" xr:uid="{D13B3EA9-6F64-4372-B08A-5D4F83DFAE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51" authorId="15" shapeId="0" xr:uid="{E76F11C3-DDA5-4861-9BA5-70AEC5D9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51" authorId="16" shapeId="0" xr:uid="{86891FEA-AD3C-4623-8753-35148D2BA111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51" authorId="17" shapeId="0" xr:uid="{BDC94B59-9CB1-4B8A-A4F1-DDCB45C3481B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71" authorId="18" shapeId="0" xr:uid="{5B78E353-3E83-4E9D-9EC9-F394ECC1FA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71" authorId="19" shapeId="0" xr:uid="{E067ED7C-2DE4-4170-B881-84D162107069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71" authorId="20" shapeId="0" xr:uid="{245F9C21-A51A-4723-829A-46D0D0FF6B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71" authorId="21" shapeId="0" xr:uid="{3A63647E-C0A7-48F1-A67C-EB81A4BE40C9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71" authorId="22" shapeId="0" xr:uid="{3DC94AD2-4EFE-4874-9C1A-E7653EE48902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71" authorId="23" shapeId="0" xr:uid="{8F6B0DD7-86DC-4D83-A7AA-A9CE0E6E8D64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89" authorId="24" shapeId="0" xr:uid="{CC936ED7-2AC1-496D-AC80-16A8891390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89" authorId="25" shapeId="0" xr:uid="{6E2402BC-33EB-4A64-9D4F-A4016E4D3924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89" authorId="26" shapeId="0" xr:uid="{87C3A495-AE31-4CF9-839E-F8E067A87C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89" authorId="27" shapeId="0" xr:uid="{CFF68F91-36E7-40F4-8F9A-BAFC70C2D3B0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89" authorId="28" shapeId="0" xr:uid="{166B75B8-D019-4942-A4A6-A9EA68277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89" authorId="29" shapeId="0" xr:uid="{DF973628-9D03-4FC1-AD2F-118B149DC041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109" authorId="30" shapeId="0" xr:uid="{0DFE5FFF-4023-4686-B68B-201017CB8E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109" authorId="31" shapeId="0" xr:uid="{8BB020A3-B246-405D-A05E-830CEDFB261D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109" authorId="32" shapeId="0" xr:uid="{7D3F321C-E655-4131-BC45-6BE9123BE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109" authorId="33" shapeId="0" xr:uid="{E5D3D487-7ECB-4759-8F44-975F61AE1861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109" authorId="34" shapeId="0" xr:uid="{2922F2E4-092C-4F0C-ACD5-F96D69AA7A45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109" authorId="35" shapeId="0" xr:uid="{E4650CED-9001-449C-B93C-995DE44835FC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129" authorId="36" shapeId="0" xr:uid="{6F184AD4-231A-4508-8D90-E10CE79DFC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129" authorId="37" shapeId="0" xr:uid="{E93A854D-5989-4CF3-939B-319993893C0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129" authorId="38" shapeId="0" xr:uid="{E15839B7-511E-4E08-8862-2C129B2002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129" authorId="39" shapeId="0" xr:uid="{E980FB8B-9D62-4A6E-AB2D-3CF02E3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129" authorId="40" shapeId="0" xr:uid="{1A9BB863-CD0C-4958-8E23-6CA38BCB90C1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129" authorId="41" shapeId="0" xr:uid="{7C153EAF-917B-4A89-9E51-1CDDA6CFE6A1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154" authorId="42" shapeId="0" xr:uid="{FF0EAD6A-83F1-4A6F-AFD0-7F70AEBBA0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154" authorId="43" shapeId="0" xr:uid="{E8968F6C-C89C-4488-B158-F0326C1F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154" authorId="44" shapeId="0" xr:uid="{44933E3E-1994-41E2-AAEE-3AE653F152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154" authorId="45" shapeId="0" xr:uid="{070CD346-229F-45FD-B779-D78098251E46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154" authorId="46" shapeId="0" xr:uid="{79FF48D5-54D9-49F2-B1A5-43C4E856B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154" authorId="47" shapeId="0" xr:uid="{0A5657E1-A468-4AF2-AB64-4242AD166506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178" authorId="48" shapeId="0" xr:uid="{2BCA174F-27F6-466C-868C-AFD6071BEB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178" authorId="49" shapeId="0" xr:uid="{CD13716B-AB2E-4AAE-8242-2499EC100FBC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178" authorId="50" shapeId="0" xr:uid="{30F01D28-078F-4C9C-BE0B-48AB095137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178" authorId="51" shapeId="0" xr:uid="{51DC3A8E-E02E-4FA5-923A-4F25759F3877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178" authorId="52" shapeId="0" xr:uid="{25AF0DCB-1531-4115-B336-45D6C5B0CC25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178" authorId="53" shapeId="0" xr:uid="{3F1A2B01-EA6D-493C-91C8-D055C5734890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194" authorId="54" shapeId="0" xr:uid="{23EDE854-BBE3-48FD-AC21-987F5A7E89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194" authorId="55" shapeId="0" xr:uid="{1FE6D465-28A1-4A14-BCE1-6AEE814DDD84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194" authorId="56" shapeId="0" xr:uid="{8866E6F7-7210-4B46-B978-CDA7E233F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194" authorId="57" shapeId="0" xr:uid="{851AC648-05DB-4D36-B167-5A6183DCFF1C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194" authorId="58" shapeId="0" xr:uid="{B9543609-E7B4-4C91-AA9A-8EDE7F2E4731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194" authorId="59" shapeId="0" xr:uid="{6CF8C685-FE84-41C5-BC52-EB872B1BDD89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211" authorId="60" shapeId="0" xr:uid="{487CE1D8-6ABA-43C9-A29E-87A14EA062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211" authorId="61" shapeId="0" xr:uid="{357A56FF-7DBA-4181-9632-8A01AD48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211" authorId="62" shapeId="0" xr:uid="{D59FEE04-A36C-4511-8ED5-C57FEA6B82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211" authorId="63" shapeId="0" xr:uid="{E363F2C2-5B6F-4938-A530-7DC6C4FCA860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211" authorId="64" shapeId="0" xr:uid="{EB747714-7EC5-4C90-95FD-9344E8AC3212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211" authorId="65" shapeId="0" xr:uid="{6349BA58-C31B-493E-BC42-3F82B9957FF6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234" authorId="66" shapeId="0" xr:uid="{B4DA3003-3594-44C5-8BC9-668CB41E0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234" authorId="67" shapeId="0" xr:uid="{9890C261-1F2A-4A65-BA19-306DB205A60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234" authorId="68" shapeId="0" xr:uid="{8CF5E3C6-B64A-421B-A2B3-0F81BAE43D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234" authorId="69" shapeId="0" xr:uid="{0514D816-EF2D-47D8-8FF2-75374E5C3242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234" authorId="70" shapeId="0" xr:uid="{23417209-DACA-46AF-9D65-FF0F104DE061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234" authorId="71" shapeId="0" xr:uid="{A0F44A58-AC5B-4C3B-AEE3-8F922B7C19A8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261" authorId="72" shapeId="0" xr:uid="{0C1A9CD1-19A3-4122-B30A-284120D92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261" authorId="73" shapeId="0" xr:uid="{7FA5645D-09A4-482D-8369-44446648EEEF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261" authorId="74" shapeId="0" xr:uid="{D408F0D6-2C7F-47E0-BB64-A0366DD94C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261" authorId="75" shapeId="0" xr:uid="{49E22A7B-24D5-45B3-9EA8-18574B87FCF9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261" authorId="76" shapeId="0" xr:uid="{05CB57D3-C1BB-4063-AD77-4AAC17406C85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261" authorId="77" shapeId="0" xr:uid="{48337ABF-AF70-430D-959F-D87854CCF44E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283" authorId="78" shapeId="0" xr:uid="{84EE8EEB-4DDF-4406-BDAB-1FE97B6186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283" authorId="79" shapeId="0" xr:uid="{0A724C11-DE7A-4609-9437-29511F10C6E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283" authorId="80" shapeId="0" xr:uid="{9EF1D8C0-86AF-4544-8ABF-816555B2B9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283" authorId="81" shapeId="0" xr:uid="{FB8633BC-BB18-4B74-A6C3-301ADCFC2700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283" authorId="82" shapeId="0" xr:uid="{589B5A68-C84F-42F5-8A42-AB1BAF510681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283" authorId="83" shapeId="0" xr:uid="{A10DAD82-980C-4290-B805-DA5BF810A072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  <comment ref="X306" authorId="84" shapeId="0" xr:uid="{6B6EC9AF-3E58-4515-97AD-74D378D6B8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Own scoring + assist created points per 100 possessions </t>
      </text>
    </comment>
    <comment ref="Y306" authorId="85" shapeId="0" xr:uid="{70A7B9F7-D6F8-490A-8BC4-67CC6C93EA7C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of scoring is self created</t>
      </text>
    </comment>
    <comment ref="AA306" authorId="86" shapeId="0" xr:uid="{3819DF73-D93C-4708-A172-8B0A27D26E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True shooting and shot making above expected shot quality </t>
      </text>
    </comment>
    <comment ref="AB306" authorId="87" shapeId="0" xr:uid="{903AF035-F563-4C0C-8697-55116E2D0058}">
      <text>
        <t>[Threaded comment]
Your version of Excel allows you to read this threaded comment; however, any edits to it will get removed if the file is opened in a newer version of Excel. Learn more: https://go.microsoft.com/fwlink/?linkid=870924
Comment:
    Usage and self-created offense</t>
      </text>
    </comment>
    <comment ref="AC306" authorId="88" shapeId="0" xr:uid="{366AEEE8-081D-424A-8D09-C1DF27DBCE4F}">
      <text>
        <t>[Threaded comment]
Your version of Excel allows you to read this threaded comment; however, any edits to it will get removed if the file is opened in a newer version of Excel. Learn more: https://go.microsoft.com/fwlink/?linkid=870924
Comment:
    Players who create points for teammates</t>
      </text>
    </comment>
    <comment ref="AD306" authorId="89" shapeId="0" xr:uid="{07C3EA1C-78AE-48A4-9251-B4D4D442C87B}">
      <text>
        <t>[Threaded comment]
Your version of Excel allows you to read this threaded comment; however, any edits to it will get removed if the file is opened in a newer version of Excel. Learn more: https://go.microsoft.com/fwlink/?linkid=870924
Comment:
    Anti-inflation measure, boosts players who can scale and penalizes players whose product is assisted</t>
      </text>
    </comment>
  </commentList>
</comments>
</file>

<file path=xl/sharedStrings.xml><?xml version="1.0" encoding="utf-8"?>
<sst xmlns="http://schemas.openxmlformats.org/spreadsheetml/2006/main" count="1327" uniqueCount="476">
  <si>
    <t>Player Price = Production × Efficiency × Minutes × Role</t>
  </si>
  <si>
    <t>League Avg</t>
  </si>
  <si>
    <t>ATLANTA DREAM</t>
  </si>
  <si>
    <t>TS%</t>
  </si>
  <si>
    <t>eFG%</t>
  </si>
  <si>
    <t>3PAr</t>
  </si>
  <si>
    <t>FTr</t>
  </si>
  <si>
    <t>ORB%</t>
  </si>
  <si>
    <t>DRB%</t>
  </si>
  <si>
    <t>AST%</t>
  </si>
  <si>
    <t>STL%</t>
  </si>
  <si>
    <t>BLK%</t>
  </si>
  <si>
    <t>TOV%</t>
  </si>
  <si>
    <t>USG%</t>
  </si>
  <si>
    <t>Ortg</t>
  </si>
  <si>
    <t>DRtg</t>
  </si>
  <si>
    <t>WS/40</t>
  </si>
  <si>
    <t>OBPM</t>
  </si>
  <si>
    <t>DBPM</t>
  </si>
  <si>
    <t>BPM</t>
  </si>
  <si>
    <t>ProjMPG</t>
  </si>
  <si>
    <t>Coach: Karl Smesko</t>
  </si>
  <si>
    <t>Poss</t>
  </si>
  <si>
    <t>Pts</t>
  </si>
  <si>
    <t>ShotQuality</t>
  </si>
  <si>
    <t>Usage%</t>
  </si>
  <si>
    <t>AST2</t>
  </si>
  <si>
    <t>AST3</t>
  </si>
  <si>
    <t>UAST2Pts</t>
  </si>
  <si>
    <t>UAST3Pts</t>
  </si>
  <si>
    <t>2ptAST%</t>
  </si>
  <si>
    <t>3ptAST%</t>
  </si>
  <si>
    <t>OREB%</t>
  </si>
  <si>
    <t>DREB%</t>
  </si>
  <si>
    <t>DefGrade_1to10</t>
  </si>
  <si>
    <t>InjuryRisk_0to2</t>
  </si>
  <si>
    <t>RoleAdj_0.90to1.10</t>
  </si>
  <si>
    <t>LevelAdj_0.75to1.05</t>
  </si>
  <si>
    <t>PtsCreated100</t>
  </si>
  <si>
    <t>SelfCreationShare</t>
  </si>
  <si>
    <t>ImpactAnchorGrade</t>
  </si>
  <si>
    <t>EfficiencyGrade</t>
  </si>
  <si>
    <t>CreationGrade</t>
  </si>
  <si>
    <t>PlaymakingGrade</t>
  </si>
  <si>
    <t>PortabilityGrade</t>
  </si>
  <si>
    <t>ReboundingGrade</t>
  </si>
  <si>
    <t>DefenseProxyGrade</t>
  </si>
  <si>
    <t>FinalDefenseGrade</t>
  </si>
  <si>
    <t>AvailabilityGrade</t>
  </si>
  <si>
    <t>RawRating</t>
  </si>
  <si>
    <t>FinalRating</t>
  </si>
  <si>
    <t>TeamPtsValue</t>
  </si>
  <si>
    <t>Naz Hilmon</t>
  </si>
  <si>
    <t>Dallas Wings</t>
  </si>
  <si>
    <t>Te-Hina Paopao</t>
  </si>
  <si>
    <t>Chicago Sky</t>
  </si>
  <si>
    <t>Taylor Thierry</t>
  </si>
  <si>
    <t>Golden State Valkyries</t>
  </si>
  <si>
    <t>Angel Reese</t>
  </si>
  <si>
    <t>Atlanta Dream</t>
  </si>
  <si>
    <t>Rhyne Howard</t>
  </si>
  <si>
    <t>Las Vegas Aces</t>
  </si>
  <si>
    <t>Allisha Gray</t>
  </si>
  <si>
    <t>Los Angeles Sparks</t>
  </si>
  <si>
    <t>Sika Kone</t>
  </si>
  <si>
    <t>New York Liberty</t>
  </si>
  <si>
    <t>Brionna Jones</t>
  </si>
  <si>
    <t>Phoenix Mercury</t>
  </si>
  <si>
    <t>Jordin Canada</t>
  </si>
  <si>
    <t>Indiana Fever</t>
  </si>
  <si>
    <t>Paige Robinson</t>
  </si>
  <si>
    <t>Connecticut Sun</t>
  </si>
  <si>
    <t>Isobel Borlase</t>
  </si>
  <si>
    <t>Toronto Tempo</t>
  </si>
  <si>
    <t>Madina Okot</t>
  </si>
  <si>
    <t>Minnesota Lynx</t>
  </si>
  <si>
    <t>Laila Phelia</t>
  </si>
  <si>
    <t>Washington Mystics</t>
  </si>
  <si>
    <t>Bella Fontleroy</t>
  </si>
  <si>
    <t>Seattle Storm</t>
  </si>
  <si>
    <t>Indya Nivar</t>
  </si>
  <si>
    <t>Portland Fire</t>
  </si>
  <si>
    <t>Sacha Washington</t>
  </si>
  <si>
    <t>Maite Cazorla</t>
  </si>
  <si>
    <t>Holly Winterburn</t>
  </si>
  <si>
    <t>Stephanie Jones</t>
  </si>
  <si>
    <t>CHICAGO SKY</t>
  </si>
  <si>
    <t>Coach: Tyler Marsh</t>
  </si>
  <si>
    <t>Elizabeth Williams</t>
  </si>
  <si>
    <t>Skylar Diggins</t>
  </si>
  <si>
    <t>Jacy Sheldon</t>
  </si>
  <si>
    <t>Azura Stevens</t>
  </si>
  <si>
    <t>Rachel Banham</t>
  </si>
  <si>
    <t>Hailey Van Lith</t>
  </si>
  <si>
    <t>Sidney Cooks</t>
  </si>
  <si>
    <t>Sydney Taylor</t>
  </si>
  <si>
    <t>Aicha Coulibaly</t>
  </si>
  <si>
    <t>Tonie Morgan</t>
  </si>
  <si>
    <t>Gabriela Jaquez</t>
  </si>
  <si>
    <t>Latasha Lattimore</t>
  </si>
  <si>
    <t>Megan Nestor</t>
  </si>
  <si>
    <t>DiJonai Carrington</t>
  </si>
  <si>
    <t>Courtney Vandersloot</t>
  </si>
  <si>
    <t>Jordan Hobbs</t>
  </si>
  <si>
    <t>Rickea Jackson</t>
  </si>
  <si>
    <t>Kamilla Cardoso</t>
  </si>
  <si>
    <t>Maddy Westbeld</t>
  </si>
  <si>
    <t>CONNECTICUT SUN</t>
  </si>
  <si>
    <t>Coach: Rachid Meziane</t>
  </si>
  <si>
    <t>Diamond Miller</t>
  </si>
  <si>
    <t>Mamignan Toure</t>
  </si>
  <si>
    <t>Brittney Griner</t>
  </si>
  <si>
    <t>Aaliyah Edwards</t>
  </si>
  <si>
    <t>Olivia Nelson-Ododa</t>
  </si>
  <si>
    <t>Saniya Rivers</t>
  </si>
  <si>
    <t>Aneesah Morrow</t>
  </si>
  <si>
    <t>Gianna Kneepkens</t>
  </si>
  <si>
    <t>Raegan Beers</t>
  </si>
  <si>
    <t>Nell Angloma</t>
  </si>
  <si>
    <t>Charlisse Leger-Walker</t>
  </si>
  <si>
    <t>Taylor Bigby</t>
  </si>
  <si>
    <t>Shey Peddy</t>
  </si>
  <si>
    <t>Harmoni Turner</t>
  </si>
  <si>
    <t>Madison Hayes</t>
  </si>
  <si>
    <t>Kennedy Burke</t>
  </si>
  <si>
    <t>Leila Lacan</t>
  </si>
  <si>
    <t>INDIANA FEVER</t>
  </si>
  <si>
    <t>Coach: Stephanie White</t>
  </si>
  <si>
    <t>Kelsey Mitchell</t>
  </si>
  <si>
    <t>Aliyah Boston</t>
  </si>
  <si>
    <t>Lexie Hull</t>
  </si>
  <si>
    <t>Makayla Timpson</t>
  </si>
  <si>
    <t>Myisha Hines-Allen</t>
  </si>
  <si>
    <t>Raven Johnson</t>
  </si>
  <si>
    <t>Kayana Traylor</t>
  </si>
  <si>
    <t>Sophie Cunningham</t>
  </si>
  <si>
    <t>Damiris Dantas</t>
  </si>
  <si>
    <t>Megan McConnell</t>
  </si>
  <si>
    <t>Jessica Timmons</t>
  </si>
  <si>
    <t>Monique Billings</t>
  </si>
  <si>
    <t>Shatori Walker-Kimbrough</t>
  </si>
  <si>
    <t>Tyasha Harris</t>
  </si>
  <si>
    <t>Caitlin Clark</t>
  </si>
  <si>
    <t>NEW YORK LIBERTY</t>
  </si>
  <si>
    <t>Coach: Chris DeMarco</t>
  </si>
  <si>
    <t>Leonie Fiebich</t>
  </si>
  <si>
    <t>Satou Sabally</t>
  </si>
  <si>
    <t>Raquel Carrera</t>
  </si>
  <si>
    <t>Pauline Astier</t>
  </si>
  <si>
    <t>Ugonne Onyiah</t>
  </si>
  <si>
    <t>Derin Edogan</t>
  </si>
  <si>
    <t>Ny'Ceara Pryor</t>
  </si>
  <si>
    <t>Alex Fowler</t>
  </si>
  <si>
    <t>Rebekah Gardner</t>
  </si>
  <si>
    <t>Rebecca Allen</t>
  </si>
  <si>
    <t>DiDi Richards</t>
  </si>
  <si>
    <t>Han Xu</t>
  </si>
  <si>
    <t>Breanna Stewart</t>
  </si>
  <si>
    <t>Ashley Owusu</t>
  </si>
  <si>
    <t>Anneli Maley</t>
  </si>
  <si>
    <t>Betnijah Laney-Hamilton</t>
  </si>
  <si>
    <t>Sabrina Ionescu</t>
  </si>
  <si>
    <t>WASHINGTON MYSTICS</t>
  </si>
  <si>
    <t>Coach: Sydney Johnson</t>
  </si>
  <si>
    <t>Georgia Amoore</t>
  </si>
  <si>
    <t>Madison Scott</t>
  </si>
  <si>
    <t>Sonia Citron</t>
  </si>
  <si>
    <t>Lucy Olsen</t>
  </si>
  <si>
    <t>Lauren Betts</t>
  </si>
  <si>
    <t>Cotie McMahon</t>
  </si>
  <si>
    <t>Rori Harmon</t>
  </si>
  <si>
    <t>Angela Dugalic</t>
  </si>
  <si>
    <t>Cassandre Prosper</t>
  </si>
  <si>
    <t>Christeen Iwuala</t>
  </si>
  <si>
    <t>Nyla Harris</t>
  </si>
  <si>
    <t>Kamaria McDaniel</t>
  </si>
  <si>
    <t>Mya Hollingshed</t>
  </si>
  <si>
    <t>Alex Wilson</t>
  </si>
  <si>
    <t>Michaela Onyenwere</t>
  </si>
  <si>
    <t>Shakira Austin</t>
  </si>
  <si>
    <t>Kiki Iriafen</t>
  </si>
  <si>
    <t>DALLAS WINGS</t>
  </si>
  <si>
    <t>Coach: Jose Fernandez</t>
  </si>
  <si>
    <t>Grace Berger</t>
  </si>
  <si>
    <t>Paige Bueckers</t>
  </si>
  <si>
    <t>Jessica Shepard</t>
  </si>
  <si>
    <t>Rayah Marshall</t>
  </si>
  <si>
    <t>Aziaha James</t>
  </si>
  <si>
    <t>JJ Quinerly</t>
  </si>
  <si>
    <t>Maddy Siegrist</t>
  </si>
  <si>
    <t>Awak Kuier</t>
  </si>
  <si>
    <t>Li Yueru</t>
  </si>
  <si>
    <t>Amy Okonkwo</t>
  </si>
  <si>
    <t>Costanza Verona</t>
  </si>
  <si>
    <t>Azzi Fudd</t>
  </si>
  <si>
    <t>Lazaria Spearman</t>
  </si>
  <si>
    <t>Grace Sullivan</t>
  </si>
  <si>
    <t>Kyla Oldacre</t>
  </si>
  <si>
    <t>Alanna Smith</t>
  </si>
  <si>
    <t>Odyssey Sims</t>
  </si>
  <si>
    <t>Dulcy Fankam Mendjiadeu</t>
  </si>
  <si>
    <t>Lindsay Allen</t>
  </si>
  <si>
    <t>Alysha Clark</t>
  </si>
  <si>
    <t>Shyanne Sellers</t>
  </si>
  <si>
    <t>Arike Ogunbowale</t>
  </si>
  <si>
    <t>GOLDEN STATE VALKYRIES</t>
  </si>
  <si>
    <t>Coach: Natalie Nakase</t>
  </si>
  <si>
    <t>Kate Martin</t>
  </si>
  <si>
    <t>Mariella Fasoula</t>
  </si>
  <si>
    <t>Miela Sowah</t>
  </si>
  <si>
    <t>Ashlon Jackson</t>
  </si>
  <si>
    <t>Marta Suarez</t>
  </si>
  <si>
    <t>Ndjakalenga Mwenentanda</t>
  </si>
  <si>
    <t>Bailey Maupin</t>
  </si>
  <si>
    <t>Cate Reese</t>
  </si>
  <si>
    <t>Caroline Ducharme</t>
  </si>
  <si>
    <t>Kaitlyn Chen</t>
  </si>
  <si>
    <t>Laeticia Amihere</t>
  </si>
  <si>
    <t>Gabby Williams</t>
  </si>
  <si>
    <t>Juste Jocyte</t>
  </si>
  <si>
    <t>Kayla Thornton</t>
  </si>
  <si>
    <t>Kaila Charles</t>
  </si>
  <si>
    <t>Iliana Rupert</t>
  </si>
  <si>
    <t>Janelle Salaun</t>
  </si>
  <si>
    <t>Tiffany Hayes</t>
  </si>
  <si>
    <t>Cecilia Zandalasini</t>
  </si>
  <si>
    <t>Kiah Stokes</t>
  </si>
  <si>
    <t>Veronica Burton</t>
  </si>
  <si>
    <t>LAS VEGAS ACES</t>
  </si>
  <si>
    <t>Coach: Becky Hammon</t>
  </si>
  <si>
    <t>Jackie Young</t>
  </si>
  <si>
    <t>Janiah Barker</t>
  </si>
  <si>
    <t>Jordan Obi</t>
  </si>
  <si>
    <t>NaLyssa Smith</t>
  </si>
  <si>
    <t>Stephanie Talbot</t>
  </si>
  <si>
    <t>Chennedy Carter</t>
  </si>
  <si>
    <t>Dana Evans</t>
  </si>
  <si>
    <t>Chelsea Gray</t>
  </si>
  <si>
    <t>Brianna Turner</t>
  </si>
  <si>
    <t>A'ja Wilson</t>
  </si>
  <si>
    <t>Jewell Loyd</t>
  </si>
  <si>
    <t>Cheyenne Parker-Tyus</t>
  </si>
  <si>
    <t>Kierstan Bell</t>
  </si>
  <si>
    <t>LOS ANGELES SPARKS</t>
  </si>
  <si>
    <t>Coach: Lynne Roberts</t>
  </si>
  <si>
    <t>Sania Feagin</t>
  </si>
  <si>
    <t>Jihyun Park</t>
  </si>
  <si>
    <t>Ta'Niya Latson</t>
  </si>
  <si>
    <t>Chance Gray</t>
  </si>
  <si>
    <t>Amelia Hasset</t>
  </si>
  <si>
    <t>Nneka Ogwumike</t>
  </si>
  <si>
    <t>Dearica Hamby</t>
  </si>
  <si>
    <t>Ariel Atkins</t>
  </si>
  <si>
    <t>Rae Burrell</t>
  </si>
  <si>
    <t>Erica Wheeler</t>
  </si>
  <si>
    <t>Emma Cannon</t>
  </si>
  <si>
    <t>Julie Vanloo</t>
  </si>
  <si>
    <t>Kelsey Plum</t>
  </si>
  <si>
    <t>Cameron Brink</t>
  </si>
  <si>
    <t>MINNESOTA LYNX</t>
  </si>
  <si>
    <t>Coach: Cheryl Reeve</t>
  </si>
  <si>
    <t>Anastasiia Olairi Kosu</t>
  </si>
  <si>
    <t>Jaylyn Sherrod</t>
  </si>
  <si>
    <t>Dorka Juhasz</t>
  </si>
  <si>
    <t>Aubrey Griffin</t>
  </si>
  <si>
    <t>Saylor Poffenbarger</t>
  </si>
  <si>
    <t>Ra Shaya Kyle</t>
  </si>
  <si>
    <t>Sakima Walker</t>
  </si>
  <si>
    <t>Emma Cechova</t>
  </si>
  <si>
    <t>Antonia Delaere</t>
  </si>
  <si>
    <t>Eliska Hamzova</t>
  </si>
  <si>
    <t>Lani White</t>
  </si>
  <si>
    <t>Amaya Battle</t>
  </si>
  <si>
    <t>Jade Masogayo</t>
  </si>
  <si>
    <t>Reigan Richardson</t>
  </si>
  <si>
    <t>Liatu King</t>
  </si>
  <si>
    <t>Natasha Howard</t>
  </si>
  <si>
    <t>Courtney Williams</t>
  </si>
  <si>
    <t>Nia Coffey</t>
  </si>
  <si>
    <t>Kayla McBride</t>
  </si>
  <si>
    <t>Napheesa Collier</t>
  </si>
  <si>
    <t>PHOENIX MERCURY</t>
  </si>
  <si>
    <t>Coach: Nate Tibbetts</t>
  </si>
  <si>
    <t>Valeriana Ayayi</t>
  </si>
  <si>
    <t>Morgan Maly</t>
  </si>
  <si>
    <t>Lauren Jensen</t>
  </si>
  <si>
    <t>Yarden Garzon</t>
  </si>
  <si>
    <t>Maggie Doogan</t>
  </si>
  <si>
    <t>Kara Dunn</t>
  </si>
  <si>
    <t>Shay Ciezki</t>
  </si>
  <si>
    <t>Quionche Carter</t>
  </si>
  <si>
    <t>Noemie Brochant</t>
  </si>
  <si>
    <t>Jovana Nogic</t>
  </si>
  <si>
    <t>Kahleah Copper</t>
  </si>
  <si>
    <t>Lee Seul Kang</t>
  </si>
  <si>
    <t>Natasha Mack</t>
  </si>
  <si>
    <t>Aisha Sheppard</t>
  </si>
  <si>
    <t>Monique Akoa Makani</t>
  </si>
  <si>
    <t>Ashten Prechtel</t>
  </si>
  <si>
    <t>Jillian Alleyne</t>
  </si>
  <si>
    <t>DeWanna Bonner</t>
  </si>
  <si>
    <t>Kiana Williams</t>
  </si>
  <si>
    <t>Kathryn Westbeld</t>
  </si>
  <si>
    <t>Alyssa Thomas</t>
  </si>
  <si>
    <t>Jaime Nared</t>
  </si>
  <si>
    <t>Kyara Linskens</t>
  </si>
  <si>
    <t>Sami Whitcomb</t>
  </si>
  <si>
    <t>SEATTLE STORM</t>
  </si>
  <si>
    <t>Coach: Sonia Raman</t>
  </si>
  <si>
    <t>Lexie Brown</t>
  </si>
  <si>
    <t>Natisha Hiedeman</t>
  </si>
  <si>
    <t>Zia Cooke</t>
  </si>
  <si>
    <t>Mackenzie Holmes</t>
  </si>
  <si>
    <t>Ezi Magbegor</t>
  </si>
  <si>
    <t>Rennia Davis</t>
  </si>
  <si>
    <t>Awa Fam</t>
  </si>
  <si>
    <t>Grace Vanslooten</t>
  </si>
  <si>
    <t>Jalyn Brown</t>
  </si>
  <si>
    <t>Elle Ladine</t>
  </si>
  <si>
    <t>Taina Mair</t>
  </si>
  <si>
    <t>Beatrice Mompremier</t>
  </si>
  <si>
    <t>Flau'jae Johnson</t>
  </si>
  <si>
    <t>Jade Melbourne</t>
  </si>
  <si>
    <t>Jaelyn Brown</t>
  </si>
  <si>
    <t>Stefanie Dolson</t>
  </si>
  <si>
    <t>Katie Lou Samuelson</t>
  </si>
  <si>
    <t>Dominique Malonga</t>
  </si>
  <si>
    <t>Jordan Horston</t>
  </si>
  <si>
    <t>Coach: Sandy Brondello</t>
  </si>
  <si>
    <t>Julie Allemand</t>
  </si>
  <si>
    <t>Kristy Wallae</t>
  </si>
  <si>
    <t>Maria Conde</t>
  </si>
  <si>
    <t>Nyara Sabally</t>
  </si>
  <si>
    <t>Lexi Held</t>
  </si>
  <si>
    <t>Nikolina Milic</t>
  </si>
  <si>
    <t>Aaliyah Nye</t>
  </si>
  <si>
    <t>Adja Kane</t>
  </si>
  <si>
    <t>Marina Mabrey</t>
  </si>
  <si>
    <t>Dara Mabrey</t>
  </si>
  <si>
    <t>Laura Juskaite</t>
  </si>
  <si>
    <t>Maddison Rocci</t>
  </si>
  <si>
    <t>Kiki Rice</t>
  </si>
  <si>
    <t>Teonni Key</t>
  </si>
  <si>
    <t>Kia Nurse</t>
  </si>
  <si>
    <t>Temi Fagbenle</t>
  </si>
  <si>
    <t>Isabelle Harrison</t>
  </si>
  <si>
    <t>Kitija Laksa</t>
  </si>
  <si>
    <t>Elizabeth Balogun</t>
  </si>
  <si>
    <t>Brittney Sykes</t>
  </si>
  <si>
    <t>Coach: Alex Sarama</t>
  </si>
  <si>
    <t>Bridget Carleton</t>
  </si>
  <si>
    <t>Maya Caldwell</t>
  </si>
  <si>
    <t>Chloe Bibby</t>
  </si>
  <si>
    <t>Emily Engstler</t>
  </si>
  <si>
    <t>Nika Muhl</t>
  </si>
  <si>
    <t>Carla Leite</t>
  </si>
  <si>
    <t>Sara Ashlee Barker</t>
  </si>
  <si>
    <t>Haley Jones</t>
  </si>
  <si>
    <t>Nyadiew Puoch</t>
  </si>
  <si>
    <t>Serah Williams</t>
  </si>
  <si>
    <t>Teja Oblak</t>
  </si>
  <si>
    <t>Sug Sutton</t>
  </si>
  <si>
    <t>Jordan Harrison</t>
  </si>
  <si>
    <t>Luisa Geiselsoder</t>
  </si>
  <si>
    <t>Kamiah Smalls</t>
  </si>
  <si>
    <t>Megan Gustafson</t>
  </si>
  <si>
    <t>Peyton Williams</t>
  </si>
  <si>
    <t>Karlie Samuelson</t>
  </si>
  <si>
    <t>Kalani Brown</t>
  </si>
  <si>
    <t>17.95</t>
  </si>
  <si>
    <t>sabally</t>
  </si>
  <si>
    <t>whitcomb</t>
  </si>
  <si>
    <t>MAM</t>
  </si>
  <si>
    <t>copper</t>
  </si>
  <si>
    <t>dewanna bonner</t>
  </si>
  <si>
    <t>alyssa thomas</t>
  </si>
  <si>
    <t>smith</t>
  </si>
  <si>
    <t>loyd</t>
  </si>
  <si>
    <t>jackie</t>
  </si>
  <si>
    <t>evans</t>
  </si>
  <si>
    <t>gray</t>
  </si>
  <si>
    <t>aja</t>
  </si>
  <si>
    <t>1q</t>
  </si>
  <si>
    <t>3s</t>
  </si>
  <si>
    <t>ast</t>
  </si>
  <si>
    <t>reb</t>
  </si>
  <si>
    <t>pts</t>
  </si>
  <si>
    <t>min</t>
  </si>
  <si>
    <t>pho</t>
  </si>
  <si>
    <t>new spread</t>
  </si>
  <si>
    <t>new tot</t>
  </si>
  <si>
    <t>lva</t>
  </si>
  <si>
    <t>last spread</t>
  </si>
  <si>
    <t>last tot</t>
  </si>
  <si>
    <t>new</t>
  </si>
  <si>
    <t>last</t>
  </si>
  <si>
    <t>Home</t>
  </si>
  <si>
    <t>Away</t>
  </si>
  <si>
    <t>hca</t>
  </si>
  <si>
    <t>rtg</t>
  </si>
  <si>
    <t>adj eff</t>
  </si>
  <si>
    <t>tot</t>
  </si>
  <si>
    <t>playoff pace</t>
  </si>
  <si>
    <t>l15 rtg</t>
  </si>
  <si>
    <t>l15 tot</t>
  </si>
  <si>
    <t>Playoffs</t>
  </si>
  <si>
    <t>ind</t>
  </si>
  <si>
    <t>G3</t>
  </si>
  <si>
    <t>last close</t>
  </si>
  <si>
    <t>last eff</t>
  </si>
  <si>
    <t>eff</t>
  </si>
  <si>
    <t>avg</t>
  </si>
  <si>
    <t>pace LG</t>
  </si>
  <si>
    <t>pace</t>
  </si>
  <si>
    <t>PLAYOFFS</t>
  </si>
  <si>
    <t>pace -&gt;</t>
  </si>
  <si>
    <t>sea</t>
  </si>
  <si>
    <t>nyl</t>
  </si>
  <si>
    <t>gsv</t>
  </si>
  <si>
    <t>con</t>
  </si>
  <si>
    <t>Pace W/O</t>
  </si>
  <si>
    <t>D PPP W</t>
  </si>
  <si>
    <t>O PPP W/O</t>
  </si>
  <si>
    <t>W Spread</t>
  </si>
  <si>
    <t>Spread + HCA</t>
  </si>
  <si>
    <t>L15 spread</t>
  </si>
  <si>
    <t>L15 total</t>
  </si>
  <si>
    <t>L15 Pace</t>
  </si>
  <si>
    <t>Adj Total w Pace</t>
  </si>
  <si>
    <t>Pace vs Avg</t>
  </si>
  <si>
    <t>Tot vs Avg</t>
  </si>
  <si>
    <t>Total IP</t>
  </si>
  <si>
    <t>Matchup</t>
  </si>
  <si>
    <t>Name</t>
  </si>
  <si>
    <t>check league avg</t>
  </si>
  <si>
    <t>Avg</t>
  </si>
  <si>
    <t>TOR</t>
  </si>
  <si>
    <t>POR</t>
  </si>
  <si>
    <t>Mabrey</t>
  </si>
  <si>
    <t>Y</t>
  </si>
  <si>
    <t>CON</t>
  </si>
  <si>
    <t>Carrington</t>
  </si>
  <si>
    <t>CHI</t>
  </si>
  <si>
    <t>N</t>
  </si>
  <si>
    <t>DAL</t>
  </si>
  <si>
    <t>LAS</t>
  </si>
  <si>
    <t>WAS</t>
  </si>
  <si>
    <t>GSV</t>
  </si>
  <si>
    <t>Clark</t>
  </si>
  <si>
    <t>IND</t>
  </si>
  <si>
    <t>Satou, Copper</t>
  </si>
  <si>
    <t>ATL</t>
  </si>
  <si>
    <t>LVA</t>
  </si>
  <si>
    <t>SEA</t>
  </si>
  <si>
    <t>Rhyne ?</t>
  </si>
  <si>
    <t>PHX</t>
  </si>
  <si>
    <t>Jonquel</t>
  </si>
  <si>
    <t>NYL</t>
  </si>
  <si>
    <t>MIN</t>
  </si>
  <si>
    <t>Injured</t>
  </si>
  <si>
    <t>W Rating</t>
  </si>
  <si>
    <t>Injury (y/n)</t>
  </si>
  <si>
    <t>Team Total Weight</t>
  </si>
  <si>
    <t>HCA</t>
  </si>
  <si>
    <t>Team Total</t>
  </si>
  <si>
    <t>Playoff Pace</t>
  </si>
  <si>
    <t>Pace/40</t>
  </si>
  <si>
    <t>last 15 OPPP</t>
  </si>
  <si>
    <t>O PPP</t>
  </si>
  <si>
    <t>last 15 DPPP</t>
  </si>
  <si>
    <t>D PPP</t>
  </si>
  <si>
    <t>Totals IP</t>
  </si>
  <si>
    <t>L15 Rtg</t>
  </si>
  <si>
    <t>Rating</t>
  </si>
  <si>
    <t>Team</t>
  </si>
  <si>
    <t>Last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</si>
</sst>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5" borderId="1" xfId="0" applyFill="1" applyBorder="1"/>
    <xf numFmtId="0" fontId="1" fillId="4" borderId="0" xfId="0" applyFont="1" applyFill="1"/>
    <xf numFmtId="0" fontId="0" fillId="4" borderId="1" xfId="0" applyFill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3" borderId="2" xfId="0" applyFill="1" applyBorder="1"/>
    <xf numFmtId="0" fontId="0" fillId="6" borderId="0" xfId="0" applyFill="1"/>
    <xf numFmtId="10" fontId="0" fillId="6" borderId="0" xfId="0" applyNumberFormat="1" applyFill="1"/>
    <xf numFmtId="0" fontId="0" fillId="6" borderId="1" xfId="0" applyFill="1" applyBorder="1"/>
    <xf numFmtId="9" fontId="0" fillId="6" borderId="0" xfId="0" applyNumberFormat="1" applyFill="1"/>
    <xf numFmtId="2" fontId="0" fillId="7" borderId="0" xfId="0" applyNumberFormat="1" applyFill="1"/>
    <xf numFmtId="2" fontId="0" fillId="2" borderId="0" xfId="0" applyNumberFormat="1" applyFill="1"/>
    <xf numFmtId="2" fontId="0" fillId="4" borderId="0" xfId="0" applyNumberFormat="1" applyFill="1"/>
    <xf numFmtId="0" fontId="0" fillId="8" borderId="0" xfId="0" applyFill="1"/>
    <xf numFmtId="10" fontId="0" fillId="6" borderId="1" xfId="0" applyNumberFormat="1" applyFill="1" applyBorder="1"/>
    <xf numFmtId="2" fontId="1" fillId="5" borderId="0" xfId="0" applyNumberFormat="1" applyFont="1" applyFill="1"/>
    <xf numFmtId="0" fontId="1" fillId="0" borderId="0" xfId="0" applyFont="1"/>
    <xf numFmtId="0" fontId="0" fillId="6" borderId="2" xfId="0" applyFill="1" applyBorder="1"/>
    <xf numFmtId="10" fontId="0" fillId="6" borderId="2" xfId="0" applyNumberFormat="1" applyFill="1" applyBorder="1"/>
    <xf numFmtId="0" fontId="0" fillId="6" borderId="3" xfId="0" applyFill="1" applyBorder="1"/>
    <xf numFmtId="2" fontId="0" fillId="7" borderId="2" xfId="0" applyNumberFormat="1" applyFill="1" applyBorder="1"/>
    <xf numFmtId="2" fontId="0" fillId="2" borderId="2" xfId="0" applyNumberFormat="1" applyFill="1" applyBorder="1"/>
    <xf numFmtId="0" fontId="1" fillId="5" borderId="4" xfId="0" applyFont="1" applyFill="1" applyBorder="1"/>
    <xf numFmtId="0" fontId="0" fillId="5" borderId="4" xfId="0" applyFill="1" applyBorder="1"/>
    <xf numFmtId="0" fontId="0" fillId="5" borderId="5" xfId="0" applyFill="1" applyBorder="1"/>
    <xf numFmtId="0" fontId="0" fillId="3" borderId="4" xfId="0" applyFill="1" applyBorder="1"/>
    <xf numFmtId="16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0" borderId="0" xfId="0" applyNumberFormat="1"/>
    <xf numFmtId="2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164" fontId="0" fillId="0" borderId="6" xfId="0" applyNumberFormat="1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2" fontId="0" fillId="0" borderId="1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1" fillId="0" borderId="16" xfId="0" applyFont="1" applyBorder="1"/>
    <xf numFmtId="0" fontId="1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9" borderId="0" xfId="0" applyFill="1"/>
    <xf numFmtId="2" fontId="0" fillId="9" borderId="0" xfId="0" applyNumberFormat="1" applyFill="1" applyAlignment="1">
      <alignment horizontal="right"/>
    </xf>
    <xf numFmtId="2" fontId="0" fillId="9" borderId="0" xfId="0" applyNumberFormat="1" applyFill="1"/>
    <xf numFmtId="165" fontId="0" fillId="0" borderId="0" xfId="0" applyNumberFormat="1"/>
    <xf numFmtId="2" fontId="0" fillId="10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10" borderId="0" xfId="0" applyFill="1" applyAlignment="1">
      <alignment horizontal="center"/>
    </xf>
    <xf numFmtId="164" fontId="0" fillId="10" borderId="0" xfId="0" applyNumberFormat="1" applyFill="1" applyAlignment="1">
      <alignment horizontal="center"/>
    </xf>
    <xf numFmtId="2" fontId="0" fillId="5" borderId="0" xfId="0" applyNumberFormat="1" applyFill="1"/>
    <xf numFmtId="0" fontId="0" fillId="0" borderId="17" xfId="0" applyBorder="1"/>
    <xf numFmtId="2" fontId="0" fillId="0" borderId="11" xfId="0" applyNumberFormat="1" applyBorder="1"/>
    <xf numFmtId="0" fontId="0" fillId="0" borderId="18" xfId="0" applyBorder="1"/>
    <xf numFmtId="0" fontId="0" fillId="0" borderId="19" xfId="0" applyBorder="1"/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6" xfId="0" applyNumberFormat="1" applyBorder="1"/>
    <xf numFmtId="2" fontId="0" fillId="0" borderId="1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0" borderId="21" xfId="0" applyBorder="1"/>
    <xf numFmtId="0" fontId="0" fillId="0" borderId="22" xfId="0" applyBorder="1"/>
    <xf numFmtId="2" fontId="0" fillId="0" borderId="15" xfId="0" applyNumberFormat="1" applyBorder="1"/>
    <xf numFmtId="0" fontId="0" fillId="0" borderId="23" xfId="0" applyBorder="1"/>
    <xf numFmtId="0" fontId="0" fillId="0" borderId="20" xfId="0" applyBorder="1"/>
    <xf numFmtId="0" fontId="0" fillId="0" borderId="2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27" xfId="0" applyBorder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1" fillId="2" borderId="0" xfId="0" applyFont="1" applyFill="1"/>
    <xf numFmtId="0" fontId="0" fillId="12" borderId="0" xfId="0" applyFill="1"/>
    <xf numFmtId="16" fontId="0" fillId="5" borderId="0" xfId="0" applyNumberFormat="1" applyFill="1"/>
  </cellXfs>
  <cellStyles count="1">
    <cellStyle name="Normal" xfId="0" builtinId="0"/>
  </cellStyles>
  <dxfs count="2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nduelgroup.sharepoint.com/sites/NJTradingTeam/Shared%20Documents/General/WNBA/WNBA%202025/Trading%20Sheet/WNBA%20Trading%20Sheet%2025.xlsx" TargetMode="External"/><Relationship Id="rId1" Type="http://schemas.openxmlformats.org/officeDocument/2006/relationships/externalLinkPath" Target="https://fanduelgroup.sharepoint.com/sites/NJTradingTeam/Shared%20Documents/General/WNBA/WNBA%202025/Trading%20Sheet/WNBA%20Trading%20Shee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DING SHEET"/>
      <sheetName val="BIR SCHEDULE"/>
      <sheetName val="Playoff Core Pricing Opinions"/>
      <sheetName val="PROP GLOBAL HANDOVER"/>
      <sheetName val="TRADER RATINGS"/>
      <sheetName val="SPRINGBOX CHECKLIST"/>
      <sheetName val="Game Prop Pricing"/>
      <sheetName val="FUTURES LINKS"/>
      <sheetName val="Lists"/>
      <sheetName val="BEAT WRITERS"/>
      <sheetName val="PROP CONSENSUS"/>
      <sheetName val="NEW MARKET IDEAS H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Atlanta Dream</v>
          </cell>
        </row>
        <row r="3">
          <cell r="A3" t="str">
            <v>Chicago Sky</v>
          </cell>
        </row>
        <row r="4">
          <cell r="A4" t="str">
            <v>Connecticut Sun</v>
          </cell>
        </row>
        <row r="5">
          <cell r="A5" t="str">
            <v>Dallas WIngs</v>
          </cell>
        </row>
        <row r="6">
          <cell r="A6" t="str">
            <v>Golden State Valkyries</v>
          </cell>
        </row>
        <row r="7">
          <cell r="A7" t="str">
            <v>Indiana Fever</v>
          </cell>
        </row>
        <row r="8">
          <cell r="A8" t="str">
            <v>Las Vegas Aces</v>
          </cell>
        </row>
        <row r="9">
          <cell r="A9" t="str">
            <v>Los Angeles Sparks</v>
          </cell>
        </row>
        <row r="10">
          <cell r="A10" t="str">
            <v>Minnesota Lynx</v>
          </cell>
        </row>
        <row r="11">
          <cell r="A11" t="str">
            <v>New York Liberty</v>
          </cell>
        </row>
        <row r="12">
          <cell r="A12" t="str">
            <v>Phoenix Mercury</v>
          </cell>
        </row>
        <row r="13">
          <cell r="A13" t="str">
            <v>Seattle Storm</v>
          </cell>
        </row>
        <row r="14">
          <cell r="A14" t="str">
            <v>Washington Mystics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elle Qing" id="{A1F82B9F-DE28-463E-9C93-95E895883503}" userId="S::michelle.qing@fanduel.com::eef10c84-e550-4ed4-9ec7-a07fe6905c6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B1DA9-DDAE-4816-BC16-F8AE7A2F34B7}" name="Table16" displayName="Table16" ref="A2:Q19" totalsRowShown="0">
  <autoFilter ref="A2:Q19" xr:uid="{D93A04EE-5002-43F7-9B21-CEA3C90DFE64}"/>
  <tableColumns count="17">
    <tableColumn id="1" xr3:uid="{DD710197-960B-4485-9A49-036234F40D2F}" name="Team"/>
    <tableColumn id="2" xr3:uid="{D65A224A-FC49-4B4F-B846-C09EBBA38255}" name="Rating" dataDxfId="25"/>
    <tableColumn id="8" xr3:uid="{B042C844-E46A-4435-985D-153CA6A9AFFF}" name="L15 Rtg" dataDxfId="24"/>
    <tableColumn id="3" xr3:uid="{4BCF230C-67EF-4AD0-85BA-E57EEC52716F}" name="Totals IP"/>
    <tableColumn id="10" xr3:uid="{082CC0EF-CD73-425C-AAC6-8F28CB9E8AE1}" name="D PPP"/>
    <tableColumn id="14" xr3:uid="{5C8E298B-960F-4538-A309-4A5B23C6B23B}" name="last 15 DPPP" dataDxfId="23"/>
    <tableColumn id="5" xr3:uid="{47062F32-477E-47C0-9777-FF3A7C1D4408}" name="O PPP"/>
    <tableColumn id="13" xr3:uid="{D9CB81F6-C59D-41F2-9A02-564315B4FD63}" name="last 15 OPPP" dataDxfId="22"/>
    <tableColumn id="6" xr3:uid="{DA506B05-F2EF-4672-9FC4-E0DB289500E7}" name="Pace/40" dataDxfId="21"/>
    <tableColumn id="4" xr3:uid="{3D9C478E-6897-451A-94AE-1ABB1E903C69}" name="Playoff Pace" dataDxfId="20">
      <calculatedColumnFormula>Table16[[#This Row],[Pace/40]]-1.7</calculatedColumnFormula>
    </tableColumn>
    <tableColumn id="11" xr3:uid="{5004F41D-2767-4901-AAC7-1BB06F033905}" name="L15 Pace" dataDxfId="19"/>
    <tableColumn id="9" xr3:uid="{7915766C-0D80-4595-A091-CDFBFE5E7991}" name="Team Total" dataDxfId="18"/>
    <tableColumn id="7" xr3:uid="{9BF81D3D-7FBB-4A8A-803E-F0DFD14F5054}" name="HCA" dataDxfId="17"/>
    <tableColumn id="12" xr3:uid="{A695E34A-1525-424A-9C64-1EABC709520C}" name="Team Total Weight" dataDxfId="16">
      <calculatedColumnFormula>SUM(Table16[[#This Row],[D PPP]],Table16[[#This Row],[O PPP]])*(0.8*Table16[[#This Row],[Pace/40]]+0.2*Table16[[#This Row],[L15 Pace]])</calculatedColumnFormula>
    </tableColumn>
    <tableColumn id="15" xr3:uid="{20D6EA6F-0FDA-4388-9B5A-46A714A13510}" name="Injury (y/n)" dataDxfId="15"/>
    <tableColumn id="16" xr3:uid="{64514804-B6C4-446F-BC64-B14EE57834AE}" name="W Rating" dataDxfId="14"/>
    <tableColumn id="17" xr3:uid="{DC3F310F-04AE-4C2B-A496-D4B82D8C9683}" name="Injured" dataDxfId="13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4F28E-8F9D-47CE-A090-C689F473BAA2}" name="Table37" displayName="Table37" ref="A27:I33" totalsRowShown="0">
  <autoFilter ref="A27:I33" xr:uid="{8AB6639D-A06D-49A4-8EE5-36928B8778EB}"/>
  <tableColumns count="9">
    <tableColumn id="1" xr3:uid="{56F852AF-C7C2-43D9-B690-E012F6D2B54B}" name="PLAYOFFS"/>
    <tableColumn id="2" xr3:uid="{C7C02803-95BF-4B20-99B9-4B6D60DCF032}" name="pace"/>
    <tableColumn id="3" xr3:uid="{133FBC7B-78C4-4863-BA9F-62B90B3C4531}" name="pace LG"/>
    <tableColumn id="4" xr3:uid="{C5206A81-FF04-43B5-9BC4-19FC1A80EA88}" name="avg"/>
    <tableColumn id="5" xr3:uid="{E3BCE7ED-8C55-4724-BD66-363D18A9B0AC}" name="eff"/>
    <tableColumn id="6" xr3:uid="{6A252168-6A4F-4C48-B1A7-951BF42F1A59}" name="last eff"/>
    <tableColumn id="7" xr3:uid="{DEBD69CC-657F-4D81-A1AC-6DAA7BBB403E}" name="last close"/>
    <tableColumn id="8" xr3:uid="{DD0BF102-5BBC-4A7D-BFBE-C047734536A2}" name="adj eff"/>
    <tableColumn id="9" xr3:uid="{B57BED70-7BCE-4791-A605-356C9091E1D2}" name="G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845150-D305-4E94-8CE4-7C428E620007}" name="Table168" displayName="Table168" ref="U2:AK19" totalsRowShown="0">
  <autoFilter ref="U2:AK19" xr:uid="{088DBBD6-CD73-4421-A82D-BFBA3371859B}"/>
  <tableColumns count="17">
    <tableColumn id="1" xr3:uid="{5E38B44D-2B17-4EF2-8DA3-98112DCCAA47}" name="Team"/>
    <tableColumn id="2" xr3:uid="{B710243D-FD0A-4FAF-B0E5-DB0C7EC5B5F4}" name="Rating" dataDxfId="12"/>
    <tableColumn id="8" xr3:uid="{451157F0-F9BF-4A8F-9B24-A3B05F25D97B}" name="L15 Rtg" dataDxfId="11"/>
    <tableColumn id="3" xr3:uid="{613DFEC4-1106-438F-B54C-5B4BAF42AF19}" name="Totals IP"/>
    <tableColumn id="10" xr3:uid="{5182FC41-090F-4855-8651-CA6183BDC6E1}" name="D PPP"/>
    <tableColumn id="14" xr3:uid="{46D468C5-7629-4972-9961-2F90455D7E7E}" name="last 15 DPPP" dataDxfId="10"/>
    <tableColumn id="5" xr3:uid="{483D89E9-98F1-426D-B0C8-AD8F3663FDF5}" name="O PPP"/>
    <tableColumn id="13" xr3:uid="{CDF3ACCF-F901-4BC4-9259-44CF6477ED7B}" name="last 15 OPPP" dataDxfId="9"/>
    <tableColumn id="6" xr3:uid="{703318B4-DE40-4CE6-8523-5B74AB613754}" name="Pace/40" dataDxfId="8"/>
    <tableColumn id="4" xr3:uid="{6D75F484-62FD-42C6-BDBF-E9A8E5801319}" name="Playoff Pace" dataDxfId="7">
      <calculatedColumnFormula>Table168[[#This Row],[Pace/40]]-1.7</calculatedColumnFormula>
    </tableColumn>
    <tableColumn id="11" xr3:uid="{68004358-E39C-4E3D-AED1-3F2BB327122F}" name="L15 Pace" dataDxfId="6"/>
    <tableColumn id="9" xr3:uid="{2C42F469-EA1D-4388-91DE-E37C64019C35}" name="Team Total" dataDxfId="5"/>
    <tableColumn id="7" xr3:uid="{1629FBAA-6B1D-4B6C-B365-77BFAA81CB81}" name="HCA" dataDxfId="4"/>
    <tableColumn id="12" xr3:uid="{8BE8320E-A795-4351-ACAC-A0510A40E2D5}" name="Team Total Weight" dataDxfId="3">
      <calculatedColumnFormula>SUM(Table168[[#This Row],[D PPP]],Table168[[#This Row],[O PPP]])*(0.8*Table168[[#This Row],[Pace/40]]+0.2*Table168[[#This Row],[L15 Pace]])</calculatedColumnFormula>
    </tableColumn>
    <tableColumn id="15" xr3:uid="{BD612DA8-ED2F-4BA9-A62C-F175083D25FC}" name="Injury (y/n)" dataDxfId="2"/>
    <tableColumn id="16" xr3:uid="{A9B70073-39F0-46C2-95F5-EE7E94FB1EA3}" name="W Rating" dataDxfId="1"/>
    <tableColumn id="17" xr3:uid="{6ABB2B65-9CE6-42ED-8C0B-21A08FCF4E32}" name="Injured" dataDxfId="0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82606A-508E-444B-A458-82AD1A3A327F}" name="Table379" displayName="Table379" ref="U27:AC33" totalsRowShown="0">
  <autoFilter ref="U27:AC33" xr:uid="{C37255CE-71CD-4935-B9A6-2B58F546D013}"/>
  <tableColumns count="9">
    <tableColumn id="1" xr3:uid="{2620D8F5-C4F2-48E7-B98C-048776F8B093}" name="PLAYOFFS"/>
    <tableColumn id="2" xr3:uid="{994C7CED-74E5-4890-A010-8F875F334F2E}" name="pace"/>
    <tableColumn id="3" xr3:uid="{BE51B194-8306-43F4-9EE3-BA19AA8E2623}" name="pace LG"/>
    <tableColumn id="4" xr3:uid="{E963D8BE-7ADF-437B-9410-C4E8D665F1A2}" name="avg"/>
    <tableColumn id="5" xr3:uid="{BAB403C7-2551-48CA-AFC5-B458AE912B81}" name="eff"/>
    <tableColumn id="6" xr3:uid="{D897B4A3-043E-4980-AB97-D034FE774531}" name="last eff"/>
    <tableColumn id="7" xr3:uid="{61C55044-B423-4B60-A750-6E6B27283699}" name="last close"/>
    <tableColumn id="8" xr3:uid="{9718DE4D-299C-48A3-97E6-3E31209553EC}" name="adj eff"/>
    <tableColumn id="9" xr3:uid="{1B518DCE-1F2B-440B-B5BE-BBED0C873977}" name="G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7" dT="2026-04-09T17:55:17.43" personId="{A1F82B9F-DE28-463E-9C93-95E895883503}" id="{81CE4650-13B2-4946-85FA-0720F207B99B}">
    <text xml:space="preserve">Own scoring + assist created points per 100 possessions </text>
  </threadedComment>
  <threadedComment ref="Y7" dT="2026-04-09T17:55:29.70" personId="{A1F82B9F-DE28-463E-9C93-95E895883503}" id="{2556A2B0-B293-4B8E-987A-47B39708E0D3}">
    <text>How much of scoring is self created</text>
  </threadedComment>
  <threadedComment ref="AA7" dT="2026-04-09T17:55:47.46" personId="{A1F82B9F-DE28-463E-9C93-95E895883503}" id="{C68263A2-D5F8-4ECD-AF82-E68940D93784}">
    <text xml:space="preserve">True shooting and shot making above expected shot quality </text>
  </threadedComment>
  <threadedComment ref="AB7" dT="2026-04-09T17:56:04.53" personId="{A1F82B9F-DE28-463E-9C93-95E895883503}" id="{A2A3F336-E62E-4A91-9F53-FA9F6F01AA89}">
    <text>Usage and self-created offense</text>
  </threadedComment>
  <threadedComment ref="AC7" dT="2026-04-09T17:56:19.31" personId="{A1F82B9F-DE28-463E-9C93-95E895883503}" id="{DF0D104F-2CF1-499C-871B-D63A883CA57D}">
    <text>Players who create points for teammates</text>
  </threadedComment>
  <threadedComment ref="AD7" dT="2026-04-09T17:56:53.07" personId="{A1F82B9F-DE28-463E-9C93-95E895883503}" id="{8675030B-48EC-4BBA-9572-030F0FD229E5}">
    <text>Anti-inflation measure, boosts players who can scale and penalizes players whose product is assisted</text>
  </threadedComment>
  <threadedComment ref="X29" dT="2026-04-09T17:55:17.43" personId="{A1F82B9F-DE28-463E-9C93-95E895883503}" id="{569731DC-62EF-40E1-BD67-8F0D8BD2D471}">
    <text xml:space="preserve">Own scoring + assist created points per 100 possessions </text>
  </threadedComment>
  <threadedComment ref="Y29" dT="2026-04-09T17:55:29.70" personId="{A1F82B9F-DE28-463E-9C93-95E895883503}" id="{D4EA5961-3713-478E-AC3A-4E37CA38AB32}">
    <text>How much of scoring is self created</text>
  </threadedComment>
  <threadedComment ref="AA29" dT="2026-04-09T17:55:47.46" personId="{A1F82B9F-DE28-463E-9C93-95E895883503}" id="{738BAB82-8B03-440B-97BB-B2605B168A99}">
    <text xml:space="preserve">True shooting and shot making above expected shot quality </text>
  </threadedComment>
  <threadedComment ref="AB29" dT="2026-04-09T17:56:04.53" personId="{A1F82B9F-DE28-463E-9C93-95E895883503}" id="{AF5A7FA6-C1A9-41D9-B087-A6A3E77E6A03}">
    <text>Usage and self-created offense</text>
  </threadedComment>
  <threadedComment ref="AC29" dT="2026-04-09T17:56:19.31" personId="{A1F82B9F-DE28-463E-9C93-95E895883503}" id="{55BE133C-9C06-40A5-B816-6EAA1D879DF6}">
    <text>Players who create points for teammates</text>
  </threadedComment>
  <threadedComment ref="AD29" dT="2026-04-09T17:56:53.07" personId="{A1F82B9F-DE28-463E-9C93-95E895883503}" id="{7C2BF5DA-D03D-4F63-AF9C-88A3559DA1ED}">
    <text>Anti-inflation measure, boosts players who can scale and penalizes players whose product is assisted</text>
  </threadedComment>
  <threadedComment ref="X51" dT="2026-04-09T17:55:17.43" personId="{A1F82B9F-DE28-463E-9C93-95E895883503}" id="{6B556B45-85E2-4A0A-A7C5-FFA01C2786BD}">
    <text xml:space="preserve">Own scoring + assist created points per 100 possessions </text>
  </threadedComment>
  <threadedComment ref="Y51" dT="2026-04-09T17:55:29.70" personId="{A1F82B9F-DE28-463E-9C93-95E895883503}" id="{1531D1BB-E1F3-4DB7-BF8C-D699701EFF9B}">
    <text>How much of scoring is self created</text>
  </threadedComment>
  <threadedComment ref="AA51" dT="2026-04-09T17:55:47.46" personId="{A1F82B9F-DE28-463E-9C93-95E895883503}" id="{D13B3EA9-6F64-4372-B08A-5D4F83DFAE3A}">
    <text xml:space="preserve">True shooting and shot making above expected shot quality </text>
  </threadedComment>
  <threadedComment ref="AB51" dT="2026-04-09T17:56:04.53" personId="{A1F82B9F-DE28-463E-9C93-95E895883503}" id="{E76F11C3-DDA5-4861-9BA5-70AEC5D9EB4D}">
    <text>Usage and self-created offense</text>
  </threadedComment>
  <threadedComment ref="AC51" dT="2026-04-09T17:56:19.31" personId="{A1F82B9F-DE28-463E-9C93-95E895883503}" id="{86891FEA-AD3C-4623-8753-35148D2BA111}">
    <text>Players who create points for teammates</text>
  </threadedComment>
  <threadedComment ref="AD51" dT="2026-04-09T17:56:53.07" personId="{A1F82B9F-DE28-463E-9C93-95E895883503}" id="{BDC94B59-9CB1-4B8A-A4F1-DDCB45C3481B}">
    <text>Anti-inflation measure, boosts players who can scale and penalizes players whose product is assisted</text>
  </threadedComment>
  <threadedComment ref="X71" dT="2026-04-09T17:55:17.43" personId="{A1F82B9F-DE28-463E-9C93-95E895883503}" id="{5B78E353-3E83-4E9D-9EC9-F394ECC1FA3B}">
    <text xml:space="preserve">Own scoring + assist created points per 100 possessions </text>
  </threadedComment>
  <threadedComment ref="Y71" dT="2026-04-09T17:55:29.70" personId="{A1F82B9F-DE28-463E-9C93-95E895883503}" id="{E067ED7C-2DE4-4170-B881-84D162107069}">
    <text>How much of scoring is self created</text>
  </threadedComment>
  <threadedComment ref="AA71" dT="2026-04-09T17:55:47.46" personId="{A1F82B9F-DE28-463E-9C93-95E895883503}" id="{245F9C21-A51A-4723-829A-46D0D0FF6B9C}">
    <text xml:space="preserve">True shooting and shot making above expected shot quality </text>
  </threadedComment>
  <threadedComment ref="AB71" dT="2026-04-09T17:56:04.53" personId="{A1F82B9F-DE28-463E-9C93-95E895883503}" id="{3A63647E-C0A7-48F1-A67C-EB81A4BE40C9}">
    <text>Usage and self-created offense</text>
  </threadedComment>
  <threadedComment ref="AC71" dT="2026-04-09T17:56:19.31" personId="{A1F82B9F-DE28-463E-9C93-95E895883503}" id="{3DC94AD2-4EFE-4874-9C1A-E7653EE48902}">
    <text>Players who create points for teammates</text>
  </threadedComment>
  <threadedComment ref="AD71" dT="2026-04-09T17:56:53.07" personId="{A1F82B9F-DE28-463E-9C93-95E895883503}" id="{8F6B0DD7-86DC-4D83-A7AA-A9CE0E6E8D64}">
    <text>Anti-inflation measure, boosts players who can scale and penalizes players whose product is assisted</text>
  </threadedComment>
  <threadedComment ref="X89" dT="2026-04-09T17:55:17.43" personId="{A1F82B9F-DE28-463E-9C93-95E895883503}" id="{CC936ED7-2AC1-496D-AC80-16A8891390F9}">
    <text xml:space="preserve">Own scoring + assist created points per 100 possessions </text>
  </threadedComment>
  <threadedComment ref="Y89" dT="2026-04-09T17:55:29.70" personId="{A1F82B9F-DE28-463E-9C93-95E895883503}" id="{6E2402BC-33EB-4A64-9D4F-A4016E4D3924}">
    <text>How much of scoring is self created</text>
  </threadedComment>
  <threadedComment ref="AA89" dT="2026-04-09T17:55:47.46" personId="{A1F82B9F-DE28-463E-9C93-95E895883503}" id="{87C3A495-AE31-4CF9-839E-F8E067A87CFD}">
    <text xml:space="preserve">True shooting and shot making above expected shot quality </text>
  </threadedComment>
  <threadedComment ref="AB89" dT="2026-04-09T17:56:04.53" personId="{A1F82B9F-DE28-463E-9C93-95E895883503}" id="{CFF68F91-36E7-40F4-8F9A-BAFC70C2D3B0}">
    <text>Usage and self-created offense</text>
  </threadedComment>
  <threadedComment ref="AC89" dT="2026-04-09T17:56:19.31" personId="{A1F82B9F-DE28-463E-9C93-95E895883503}" id="{166B75B8-D019-4942-A4A6-A9EA68277556}">
    <text>Players who create points for teammates</text>
  </threadedComment>
  <threadedComment ref="AD89" dT="2026-04-09T17:56:53.07" personId="{A1F82B9F-DE28-463E-9C93-95E895883503}" id="{DF973628-9D03-4FC1-AD2F-118B149DC041}">
    <text>Anti-inflation measure, boosts players who can scale and penalizes players whose product is assisted</text>
  </threadedComment>
  <threadedComment ref="X109" dT="2026-04-09T17:55:17.43" personId="{A1F82B9F-DE28-463E-9C93-95E895883503}" id="{0DFE5FFF-4023-4686-B68B-201017CB8E83}">
    <text xml:space="preserve">Own scoring + assist created points per 100 possessions </text>
  </threadedComment>
  <threadedComment ref="Y109" dT="2026-04-09T17:55:29.70" personId="{A1F82B9F-DE28-463E-9C93-95E895883503}" id="{8BB020A3-B246-405D-A05E-830CEDFB261D}">
    <text>How much of scoring is self created</text>
  </threadedComment>
  <threadedComment ref="AA109" dT="2026-04-09T17:55:47.46" personId="{A1F82B9F-DE28-463E-9C93-95E895883503}" id="{7D3F321C-E655-4131-BC45-6BE9123BEE89}">
    <text xml:space="preserve">True shooting and shot making above expected shot quality </text>
  </threadedComment>
  <threadedComment ref="AB109" dT="2026-04-09T17:56:04.53" personId="{A1F82B9F-DE28-463E-9C93-95E895883503}" id="{E5D3D487-7ECB-4759-8F44-975F61AE1861}">
    <text>Usage and self-created offense</text>
  </threadedComment>
  <threadedComment ref="AC109" dT="2026-04-09T17:56:19.31" personId="{A1F82B9F-DE28-463E-9C93-95E895883503}" id="{2922F2E4-092C-4F0C-ACD5-F96D69AA7A45}">
    <text>Players who create points for teammates</text>
  </threadedComment>
  <threadedComment ref="AD109" dT="2026-04-09T17:56:53.07" personId="{A1F82B9F-DE28-463E-9C93-95E895883503}" id="{E4650CED-9001-449C-B93C-995DE44835FC}">
    <text>Anti-inflation measure, boosts players who can scale and penalizes players whose product is assisted</text>
  </threadedComment>
  <threadedComment ref="X129" dT="2026-04-09T17:55:17.43" personId="{A1F82B9F-DE28-463E-9C93-95E895883503}" id="{6F184AD4-231A-4508-8D90-E10CE79DFCA3}">
    <text xml:space="preserve">Own scoring + assist created points per 100 possessions </text>
  </threadedComment>
  <threadedComment ref="Y129" dT="2026-04-09T17:55:29.70" personId="{A1F82B9F-DE28-463E-9C93-95E895883503}" id="{E93A854D-5989-4CF3-939B-319993893C02}">
    <text>How much of scoring is self created</text>
  </threadedComment>
  <threadedComment ref="AA129" dT="2026-04-09T17:55:47.46" personId="{A1F82B9F-DE28-463E-9C93-95E895883503}" id="{E15839B7-511E-4E08-8862-2C129B2002A6}">
    <text xml:space="preserve">True shooting and shot making above expected shot quality </text>
  </threadedComment>
  <threadedComment ref="AB129" dT="2026-04-09T17:56:04.53" personId="{A1F82B9F-DE28-463E-9C93-95E895883503}" id="{E980FB8B-9D62-4A6E-AB2D-3CF02E36172F}">
    <text>Usage and self-created offense</text>
  </threadedComment>
  <threadedComment ref="AC129" dT="2026-04-09T17:56:19.31" personId="{A1F82B9F-DE28-463E-9C93-95E895883503}" id="{1A9BB863-CD0C-4958-8E23-6CA38BCB90C1}">
    <text>Players who create points for teammates</text>
  </threadedComment>
  <threadedComment ref="AD129" dT="2026-04-09T17:56:53.07" personId="{A1F82B9F-DE28-463E-9C93-95E895883503}" id="{7C153EAF-917B-4A89-9E51-1CDDA6CFE6A1}">
    <text>Anti-inflation measure, boosts players who can scale and penalizes players whose product is assisted</text>
  </threadedComment>
  <threadedComment ref="X154" dT="2026-04-09T17:55:17.43" personId="{A1F82B9F-DE28-463E-9C93-95E895883503}" id="{FF0EAD6A-83F1-4A6F-AFD0-7F70AEBBA079}">
    <text xml:space="preserve">Own scoring + assist created points per 100 possessions </text>
  </threadedComment>
  <threadedComment ref="Y154" dT="2026-04-09T17:55:29.70" personId="{A1F82B9F-DE28-463E-9C93-95E895883503}" id="{E8968F6C-C89C-4488-B158-F0326C1F9272}">
    <text>How much of scoring is self created</text>
  </threadedComment>
  <threadedComment ref="AA154" dT="2026-04-09T17:55:47.46" personId="{A1F82B9F-DE28-463E-9C93-95E895883503}" id="{44933E3E-1994-41E2-AAEE-3AE653F152E0}">
    <text xml:space="preserve">True shooting and shot making above expected shot quality </text>
  </threadedComment>
  <threadedComment ref="AB154" dT="2026-04-09T17:56:04.53" personId="{A1F82B9F-DE28-463E-9C93-95E895883503}" id="{070CD346-229F-45FD-B779-D78098251E46}">
    <text>Usage and self-created offense</text>
  </threadedComment>
  <threadedComment ref="AC154" dT="2026-04-09T17:56:19.31" personId="{A1F82B9F-DE28-463E-9C93-95E895883503}" id="{79FF48D5-54D9-49F2-B1A5-43C4E856BEEC}">
    <text>Players who create points for teammates</text>
  </threadedComment>
  <threadedComment ref="AD154" dT="2026-04-09T17:56:53.07" personId="{A1F82B9F-DE28-463E-9C93-95E895883503}" id="{0A5657E1-A468-4AF2-AB64-4242AD166506}">
    <text>Anti-inflation measure, boosts players who can scale and penalizes players whose product is assisted</text>
  </threadedComment>
  <threadedComment ref="X178" dT="2026-04-09T17:55:17.43" personId="{A1F82B9F-DE28-463E-9C93-95E895883503}" id="{2BCA174F-27F6-466C-868C-AFD6071BEB2A}">
    <text xml:space="preserve">Own scoring + assist created points per 100 possessions </text>
  </threadedComment>
  <threadedComment ref="Y178" dT="2026-04-09T17:55:29.70" personId="{A1F82B9F-DE28-463E-9C93-95E895883503}" id="{CD13716B-AB2E-4AAE-8242-2499EC100FBC}">
    <text>How much of scoring is self created</text>
  </threadedComment>
  <threadedComment ref="AA178" dT="2026-04-09T17:55:47.46" personId="{A1F82B9F-DE28-463E-9C93-95E895883503}" id="{30F01D28-078F-4C9C-BE0B-48AB095137A4}">
    <text xml:space="preserve">True shooting and shot making above expected shot quality </text>
  </threadedComment>
  <threadedComment ref="AB178" dT="2026-04-09T17:56:04.53" personId="{A1F82B9F-DE28-463E-9C93-95E895883503}" id="{51DC3A8E-E02E-4FA5-923A-4F25759F3877}">
    <text>Usage and self-created offense</text>
  </threadedComment>
  <threadedComment ref="AC178" dT="2026-04-09T17:56:19.31" personId="{A1F82B9F-DE28-463E-9C93-95E895883503}" id="{25AF0DCB-1531-4115-B336-45D6C5B0CC25}">
    <text>Players who create points for teammates</text>
  </threadedComment>
  <threadedComment ref="AD178" dT="2026-04-09T17:56:53.07" personId="{A1F82B9F-DE28-463E-9C93-95E895883503}" id="{3F1A2B01-EA6D-493C-91C8-D055C5734890}">
    <text>Anti-inflation measure, boosts players who can scale and penalizes players whose product is assisted</text>
  </threadedComment>
  <threadedComment ref="X194" dT="2026-04-09T17:55:17.43" personId="{A1F82B9F-DE28-463E-9C93-95E895883503}" id="{23EDE854-BBE3-48FD-AC21-987F5A7E89F3}">
    <text xml:space="preserve">Own scoring + assist created points per 100 possessions </text>
  </threadedComment>
  <threadedComment ref="Y194" dT="2026-04-09T17:55:29.70" personId="{A1F82B9F-DE28-463E-9C93-95E895883503}" id="{1FE6D465-28A1-4A14-BCE1-6AEE814DDD84}">
    <text>How much of scoring is self created</text>
  </threadedComment>
  <threadedComment ref="AA194" dT="2026-04-09T17:55:47.46" personId="{A1F82B9F-DE28-463E-9C93-95E895883503}" id="{8866E6F7-7210-4B46-B978-CDA7E233F627}">
    <text xml:space="preserve">True shooting and shot making above expected shot quality </text>
  </threadedComment>
  <threadedComment ref="AB194" dT="2026-04-09T17:56:04.53" personId="{A1F82B9F-DE28-463E-9C93-95E895883503}" id="{851AC648-05DB-4D36-B167-5A6183DCFF1C}">
    <text>Usage and self-created offense</text>
  </threadedComment>
  <threadedComment ref="AC194" dT="2026-04-09T17:56:19.31" personId="{A1F82B9F-DE28-463E-9C93-95E895883503}" id="{B9543609-E7B4-4C91-AA9A-8EDE7F2E4731}">
    <text>Players who create points for teammates</text>
  </threadedComment>
  <threadedComment ref="AD194" dT="2026-04-09T17:56:53.07" personId="{A1F82B9F-DE28-463E-9C93-95E895883503}" id="{6CF8C685-FE84-41C5-BC52-EB872B1BDD89}">
    <text>Anti-inflation measure, boosts players who can scale and penalizes players whose product is assisted</text>
  </threadedComment>
  <threadedComment ref="X211" dT="2026-04-09T17:55:17.43" personId="{A1F82B9F-DE28-463E-9C93-95E895883503}" id="{487CE1D8-6ABA-43C9-A29E-87A14EA062B6}">
    <text xml:space="preserve">Own scoring + assist created points per 100 possessions </text>
  </threadedComment>
  <threadedComment ref="Y211" dT="2026-04-09T17:55:29.70" personId="{A1F82B9F-DE28-463E-9C93-95E895883503}" id="{357A56FF-7DBA-4181-9632-8A01AD48EA3E}">
    <text>How much of scoring is self created</text>
  </threadedComment>
  <threadedComment ref="AA211" dT="2026-04-09T17:55:47.46" personId="{A1F82B9F-DE28-463E-9C93-95E895883503}" id="{D59FEE04-A36C-4511-8ED5-C57FEA6B8203}">
    <text xml:space="preserve">True shooting and shot making above expected shot quality </text>
  </threadedComment>
  <threadedComment ref="AB211" dT="2026-04-09T17:56:04.53" personId="{A1F82B9F-DE28-463E-9C93-95E895883503}" id="{E363F2C2-5B6F-4938-A530-7DC6C4FCA860}">
    <text>Usage and self-created offense</text>
  </threadedComment>
  <threadedComment ref="AC211" dT="2026-04-09T17:56:19.31" personId="{A1F82B9F-DE28-463E-9C93-95E895883503}" id="{EB747714-7EC5-4C90-95FD-9344E8AC3212}">
    <text>Players who create points for teammates</text>
  </threadedComment>
  <threadedComment ref="AD211" dT="2026-04-09T17:56:53.07" personId="{A1F82B9F-DE28-463E-9C93-95E895883503}" id="{6349BA58-C31B-493E-BC42-3F82B9957FF6}">
    <text>Anti-inflation measure, boosts players who can scale and penalizes players whose product is assisted</text>
  </threadedComment>
  <threadedComment ref="X234" dT="2026-04-09T17:55:17.43" personId="{A1F82B9F-DE28-463E-9C93-95E895883503}" id="{B4DA3003-3594-44C5-8BC9-668CB41E03F7}">
    <text xml:space="preserve">Own scoring + assist created points per 100 possessions </text>
  </threadedComment>
  <threadedComment ref="Y234" dT="2026-04-09T17:55:29.70" personId="{A1F82B9F-DE28-463E-9C93-95E895883503}" id="{9890C261-1F2A-4A65-BA19-306DB205A602}">
    <text>How much of scoring is self created</text>
  </threadedComment>
  <threadedComment ref="AA234" dT="2026-04-09T17:55:47.46" personId="{A1F82B9F-DE28-463E-9C93-95E895883503}" id="{8CF5E3C6-B64A-421B-A2B3-0F81BAE43D2C}">
    <text xml:space="preserve">True shooting and shot making above expected shot quality </text>
  </threadedComment>
  <threadedComment ref="AB234" dT="2026-04-09T17:56:04.53" personId="{A1F82B9F-DE28-463E-9C93-95E895883503}" id="{0514D816-EF2D-47D8-8FF2-75374E5C3242}">
    <text>Usage and self-created offense</text>
  </threadedComment>
  <threadedComment ref="AC234" dT="2026-04-09T17:56:19.31" personId="{A1F82B9F-DE28-463E-9C93-95E895883503}" id="{23417209-DACA-46AF-9D65-FF0F104DE061}">
    <text>Players who create points for teammates</text>
  </threadedComment>
  <threadedComment ref="AD234" dT="2026-04-09T17:56:53.07" personId="{A1F82B9F-DE28-463E-9C93-95E895883503}" id="{A0F44A58-AC5B-4C3B-AEE3-8F922B7C19A8}">
    <text>Anti-inflation measure, boosts players who can scale and penalizes players whose product is assisted</text>
  </threadedComment>
  <threadedComment ref="X261" dT="2026-04-09T17:55:17.43" personId="{A1F82B9F-DE28-463E-9C93-95E895883503}" id="{0C1A9CD1-19A3-4122-B30A-284120D92BE3}">
    <text xml:space="preserve">Own scoring + assist created points per 100 possessions </text>
  </threadedComment>
  <threadedComment ref="Y261" dT="2026-04-09T17:55:29.70" personId="{A1F82B9F-DE28-463E-9C93-95E895883503}" id="{7FA5645D-09A4-482D-8369-44446648EEEF}">
    <text>How much of scoring is self created</text>
  </threadedComment>
  <threadedComment ref="AA261" dT="2026-04-09T17:55:47.46" personId="{A1F82B9F-DE28-463E-9C93-95E895883503}" id="{D408F0D6-2C7F-47E0-BB64-A0366DD94CA3}">
    <text xml:space="preserve">True shooting and shot making above expected shot quality </text>
  </threadedComment>
  <threadedComment ref="AB261" dT="2026-04-09T17:56:04.53" personId="{A1F82B9F-DE28-463E-9C93-95E895883503}" id="{49E22A7B-24D5-45B3-9EA8-18574B87FCF9}">
    <text>Usage and self-created offense</text>
  </threadedComment>
  <threadedComment ref="AC261" dT="2026-04-09T17:56:19.31" personId="{A1F82B9F-DE28-463E-9C93-95E895883503}" id="{05CB57D3-C1BB-4063-AD77-4AAC17406C85}">
    <text>Players who create points for teammates</text>
  </threadedComment>
  <threadedComment ref="AD261" dT="2026-04-09T17:56:53.07" personId="{A1F82B9F-DE28-463E-9C93-95E895883503}" id="{48337ABF-AF70-430D-959F-D87854CCF44E}">
    <text>Anti-inflation measure, boosts players who can scale and penalizes players whose product is assisted</text>
  </threadedComment>
  <threadedComment ref="X283" dT="2026-04-09T17:55:17.43" personId="{A1F82B9F-DE28-463E-9C93-95E895883503}" id="{84EE8EEB-4DDF-4406-BDAB-1FE97B6186B0}">
    <text xml:space="preserve">Own scoring + assist created points per 100 possessions </text>
  </threadedComment>
  <threadedComment ref="Y283" dT="2026-04-09T17:55:29.70" personId="{A1F82B9F-DE28-463E-9C93-95E895883503}" id="{0A724C11-DE7A-4609-9437-29511F10C6E2}">
    <text>How much of scoring is self created</text>
  </threadedComment>
  <threadedComment ref="AA283" dT="2026-04-09T17:55:47.46" personId="{A1F82B9F-DE28-463E-9C93-95E895883503}" id="{9EF1D8C0-86AF-4544-8ABF-816555B2B922}">
    <text xml:space="preserve">True shooting and shot making above expected shot quality </text>
  </threadedComment>
  <threadedComment ref="AB283" dT="2026-04-09T17:56:04.53" personId="{A1F82B9F-DE28-463E-9C93-95E895883503}" id="{FB8633BC-BB18-4B74-A6C3-301ADCFC2700}">
    <text>Usage and self-created offense</text>
  </threadedComment>
  <threadedComment ref="AC283" dT="2026-04-09T17:56:19.31" personId="{A1F82B9F-DE28-463E-9C93-95E895883503}" id="{589B5A68-C84F-42F5-8A42-AB1BAF510681}">
    <text>Players who create points for teammates</text>
  </threadedComment>
  <threadedComment ref="AD283" dT="2026-04-09T17:56:53.07" personId="{A1F82B9F-DE28-463E-9C93-95E895883503}" id="{A10DAD82-980C-4290-B805-DA5BF810A072}">
    <text>Anti-inflation measure, boosts players who can scale and penalizes players whose product is assisted</text>
  </threadedComment>
  <threadedComment ref="X306" dT="2026-04-09T17:55:17.43" personId="{A1F82B9F-DE28-463E-9C93-95E895883503}" id="{6B6EC9AF-3E58-4515-97AD-74D378D6B843}">
    <text xml:space="preserve">Own scoring + assist created points per 100 possessions </text>
  </threadedComment>
  <threadedComment ref="Y306" dT="2026-04-09T17:55:29.70" personId="{A1F82B9F-DE28-463E-9C93-95E895883503}" id="{70A7B9F7-D6F8-490A-8BC4-67CC6C93EA7C}">
    <text>How much of scoring is self created</text>
  </threadedComment>
  <threadedComment ref="AA306" dT="2026-04-09T17:55:47.46" personId="{A1F82B9F-DE28-463E-9C93-95E895883503}" id="{3819DF73-D93C-4708-A172-8B0A27D26E21}">
    <text xml:space="preserve">True shooting and shot making above expected shot quality </text>
  </threadedComment>
  <threadedComment ref="AB306" dT="2026-04-09T17:56:04.53" personId="{A1F82B9F-DE28-463E-9C93-95E895883503}" id="{903AF035-F563-4C0C-8697-55116E2D0058}">
    <text>Usage and self-created offense</text>
  </threadedComment>
  <threadedComment ref="AC306" dT="2026-04-09T17:56:19.31" personId="{A1F82B9F-DE28-463E-9C93-95E895883503}" id="{366AEEE8-081D-424A-8D09-C1DF27DBCE4F}">
    <text>Players who create points for teammates</text>
  </threadedComment>
  <threadedComment ref="AD306" dT="2026-04-09T17:56:53.07" personId="{A1F82B9F-DE28-463E-9C93-95E895883503}" id="{07C3EA1C-78AE-48A4-9251-B4D4D442C87B}">
    <text>Anti-inflation measure, boosts players who can scale and penalizes players whose product is assisted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BC1E-A26A-4131-B061-47CDB5BC6047}">
  <dimension ref="A1:AX331"/>
  <sheetViews>
    <sheetView zoomScale="78" workbookViewId="0">
      <selection activeCell="AQ20" sqref="AQ20"/>
    </sheetView>
  </sheetViews>
  <sheetFormatPr defaultRowHeight="15" x14ac:dyDescent="0.25"/>
  <cols>
    <col min="1" max="1" width="24.28515625" customWidth="1"/>
    <col min="2" max="2" width="9.7109375" customWidth="1"/>
    <col min="3" max="3" width="7.7109375" bestFit="1" customWidth="1"/>
    <col min="4" max="4" width="7.28515625" bestFit="1" customWidth="1"/>
    <col min="5" max="5" width="7.7109375" bestFit="1" customWidth="1"/>
    <col min="6" max="6" width="11.140625" bestFit="1" customWidth="1"/>
    <col min="7" max="7" width="8" bestFit="1" customWidth="1"/>
    <col min="8" max="8" width="7.28515625" bestFit="1" customWidth="1"/>
    <col min="9" max="9" width="7.7109375" style="1" bestFit="1" customWidth="1"/>
    <col min="10" max="10" width="9.140625" bestFit="1" customWidth="1"/>
    <col min="12" max="12" width="8.7109375" bestFit="1" customWidth="1"/>
    <col min="13" max="14" width="11" bestFit="1" customWidth="1"/>
    <col min="15" max="15" width="8.140625" bestFit="1" customWidth="1"/>
    <col min="16" max="16" width="8.5703125" bestFit="1" customWidth="1"/>
    <col min="17" max="19" width="8.5703125" customWidth="1"/>
    <col min="20" max="20" width="14.85546875" bestFit="1" customWidth="1"/>
    <col min="21" max="21" width="14.42578125" bestFit="1" customWidth="1"/>
    <col min="22" max="22" width="17.7109375" bestFit="1" customWidth="1"/>
    <col min="23" max="23" width="17.7109375" customWidth="1"/>
    <col min="24" max="24" width="13.5703125" bestFit="1" customWidth="1"/>
    <col min="25" max="25" width="16.7109375" bestFit="1" customWidth="1"/>
    <col min="26" max="26" width="16.7109375" customWidth="1"/>
    <col min="27" max="27" width="14.7109375" bestFit="1" customWidth="1"/>
    <col min="28" max="28" width="13.85546875" bestFit="1" customWidth="1"/>
    <col min="29" max="29" width="16.7109375" bestFit="1" customWidth="1"/>
    <col min="30" max="30" width="15.42578125" bestFit="1" customWidth="1"/>
    <col min="31" max="31" width="17" bestFit="1" customWidth="1"/>
    <col min="32" max="33" width="17" customWidth="1"/>
    <col min="34" max="34" width="16.140625" bestFit="1" customWidth="1"/>
    <col min="35" max="36" width="12" bestFit="1" customWidth="1"/>
    <col min="37" max="37" width="13.7109375" style="2" bestFit="1" customWidth="1"/>
    <col min="38" max="38" width="6.7109375" style="3" customWidth="1"/>
    <col min="39" max="39" width="9.140625" style="4" customWidth="1"/>
    <col min="40" max="40" width="13.7109375" style="4" bestFit="1" customWidth="1"/>
    <col min="41" max="50" width="9.140625" style="4"/>
  </cols>
  <sheetData>
    <row r="1" spans="1:50" x14ac:dyDescent="0.25">
      <c r="A1" t="s">
        <v>0</v>
      </c>
    </row>
    <row r="3" spans="1:50" x14ac:dyDescent="0.25">
      <c r="A3" t="s">
        <v>1</v>
      </c>
    </row>
    <row r="5" spans="1:50" s="6" customFormat="1" x14ac:dyDescent="0.25">
      <c r="A5" s="5" t="s">
        <v>2</v>
      </c>
      <c r="I5" s="7"/>
      <c r="AK5" s="2"/>
      <c r="AL5" s="3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s="4" customFormat="1" x14ac:dyDescent="0.25">
      <c r="A6" s="8"/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9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</row>
    <row r="7" spans="1:50" s="11" customFormat="1" x14ac:dyDescent="0.25">
      <c r="A7" s="10" t="s">
        <v>21</v>
      </c>
      <c r="B7" s="11" t="s">
        <v>22</v>
      </c>
      <c r="C7" s="11" t="s">
        <v>23</v>
      </c>
      <c r="D7" s="11" t="s">
        <v>3</v>
      </c>
      <c r="E7" s="11" t="s">
        <v>4</v>
      </c>
      <c r="F7" s="11" t="s">
        <v>24</v>
      </c>
      <c r="G7" s="11" t="s">
        <v>25</v>
      </c>
      <c r="H7" s="11" t="s">
        <v>26</v>
      </c>
      <c r="I7" s="12" t="s">
        <v>27</v>
      </c>
      <c r="J7" s="11" t="s">
        <v>28</v>
      </c>
      <c r="K7" s="11" t="s">
        <v>29</v>
      </c>
      <c r="L7" s="11" t="s">
        <v>30</v>
      </c>
      <c r="M7" s="11" t="s">
        <v>31</v>
      </c>
      <c r="N7" s="11" t="s">
        <v>32</v>
      </c>
      <c r="O7" s="11" t="s">
        <v>33</v>
      </c>
      <c r="P7" s="11" t="s">
        <v>20</v>
      </c>
      <c r="T7" s="11" t="s">
        <v>34</v>
      </c>
      <c r="U7" s="11" t="s">
        <v>35</v>
      </c>
      <c r="V7" s="11" t="s">
        <v>36</v>
      </c>
      <c r="W7" s="11" t="s">
        <v>37</v>
      </c>
      <c r="X7" s="11" t="s">
        <v>38</v>
      </c>
      <c r="Y7" s="11" t="s">
        <v>39</v>
      </c>
      <c r="Z7" s="11" t="s">
        <v>40</v>
      </c>
      <c r="AA7" s="11" t="s">
        <v>41</v>
      </c>
      <c r="AB7" s="11" t="s">
        <v>42</v>
      </c>
      <c r="AC7" s="11" t="s">
        <v>43</v>
      </c>
      <c r="AD7" s="11" t="s">
        <v>44</v>
      </c>
      <c r="AE7" s="11" t="s">
        <v>45</v>
      </c>
      <c r="AF7" s="11" t="s">
        <v>46</v>
      </c>
      <c r="AG7" s="11" t="s">
        <v>47</v>
      </c>
      <c r="AH7" s="11" t="s">
        <v>48</v>
      </c>
      <c r="AI7" s="11" t="s">
        <v>49</v>
      </c>
      <c r="AJ7" s="11" t="s">
        <v>50</v>
      </c>
      <c r="AK7" s="13" t="s">
        <v>51</v>
      </c>
      <c r="AL7" s="1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t="s">
        <v>52</v>
      </c>
      <c r="B8" s="15">
        <v>2155</v>
      </c>
      <c r="C8" s="15">
        <v>380</v>
      </c>
      <c r="D8" s="16">
        <v>0.57750000000000001</v>
      </c>
      <c r="E8" s="16">
        <v>0.55169999999999997</v>
      </c>
      <c r="F8" s="15">
        <v>0.55000000000000004</v>
      </c>
      <c r="G8" s="15">
        <v>15.32</v>
      </c>
      <c r="H8" s="15">
        <v>148</v>
      </c>
      <c r="I8" s="17">
        <v>159</v>
      </c>
      <c r="J8" s="15">
        <v>24</v>
      </c>
      <c r="K8" s="15">
        <v>0</v>
      </c>
      <c r="L8" s="16">
        <v>0.86050000000000004</v>
      </c>
      <c r="M8" s="18">
        <v>1</v>
      </c>
      <c r="N8" s="16">
        <v>5.96E-2</v>
      </c>
      <c r="O8" s="16">
        <v>0.1757</v>
      </c>
      <c r="P8" s="15">
        <v>25</v>
      </c>
      <c r="Q8" s="15"/>
      <c r="R8" s="15"/>
      <c r="S8" s="15"/>
      <c r="T8" s="15">
        <v>5</v>
      </c>
      <c r="U8" s="15">
        <v>0.2</v>
      </c>
      <c r="V8" s="15">
        <v>1</v>
      </c>
      <c r="W8" s="15"/>
      <c r="X8" s="19">
        <f>IF(B8=0,0,100*(C8+2*H8+3*I8)/B8)</f>
        <v>53.503480278422273</v>
      </c>
      <c r="Y8" s="19">
        <f>IF(C8=0,0,(J8+K8)/C8)</f>
        <v>6.3157894736842107E-2</v>
      </c>
      <c r="Z8" s="19"/>
      <c r="AA8" s="19">
        <f>MAX(0,MIN(10,5+50*(D8-0.55)+25*(E8-F8)))</f>
        <v>6.417499999999996</v>
      </c>
      <c r="AB8" s="19">
        <f>MAX(0,MIN(10,0.2*G8+5*Y8))</f>
        <v>3.3797894736842107</v>
      </c>
      <c r="AC8" s="19">
        <f>MAX(0,MIN(10,X8/4))</f>
        <v>10</v>
      </c>
      <c r="AD8" s="19">
        <f>MAX(0,MIN(10,2+0.15*G8+4*Y8-0.03*((L8+M8)/2)))</f>
        <v>4.5227240789473679</v>
      </c>
      <c r="AE8" s="19">
        <f>MAX(0,MIN(10,0.15*N8+0.08*O8))</f>
        <v>2.2995999999999999E-2</v>
      </c>
      <c r="AF8" s="19"/>
      <c r="AG8" s="19"/>
      <c r="AH8" s="19">
        <f>MAX(0,MIN(10,P8/3.2-2*U8))</f>
        <v>7.4124999999999996</v>
      </c>
      <c r="AI8" s="19">
        <f>10*(0.22*AA8+0.2*AB8+0.18*AC8+0.12*AD8+0.1*AE8+0.13*T8+0.05*AH8)</f>
        <v>54.534593842105252</v>
      </c>
      <c r="AJ8" s="19">
        <f>AI8*V8</f>
        <v>54.534593842105252</v>
      </c>
      <c r="AK8" s="20">
        <f>AJ8*(P8/200)</f>
        <v>6.8168242302631565</v>
      </c>
      <c r="AN8" s="4" t="s">
        <v>53</v>
      </c>
      <c r="AO8" s="21">
        <f>AK152</f>
        <v>97.676038449474959</v>
      </c>
    </row>
    <row r="9" spans="1:50" x14ac:dyDescent="0.25">
      <c r="A9" t="s">
        <v>54</v>
      </c>
      <c r="B9" s="15">
        <v>1400</v>
      </c>
      <c r="C9" s="15">
        <v>250</v>
      </c>
      <c r="D9" s="16">
        <v>0.55559999999999998</v>
      </c>
      <c r="E9" s="16">
        <v>0.55479999999999996</v>
      </c>
      <c r="F9" s="15">
        <v>0.53</v>
      </c>
      <c r="G9" s="15">
        <v>16.989999999999998</v>
      </c>
      <c r="H9" s="15">
        <v>48</v>
      </c>
      <c r="I9" s="17">
        <v>138</v>
      </c>
      <c r="J9" s="15">
        <v>42</v>
      </c>
      <c r="K9" s="15">
        <v>15</v>
      </c>
      <c r="L9" s="16">
        <v>0.5333</v>
      </c>
      <c r="M9" s="16">
        <v>0.90200000000000002</v>
      </c>
      <c r="N9" s="16">
        <v>1.54E-2</v>
      </c>
      <c r="O9" s="16">
        <v>8.77E-2</v>
      </c>
      <c r="P9" s="15">
        <v>27</v>
      </c>
      <c r="Q9" s="15"/>
      <c r="R9" s="15"/>
      <c r="S9" s="15"/>
      <c r="T9" s="15">
        <v>5</v>
      </c>
      <c r="U9" s="15">
        <v>0.2</v>
      </c>
      <c r="V9" s="15">
        <v>1</v>
      </c>
      <c r="W9" s="15"/>
      <c r="X9" s="19">
        <f>IF(B9=0,0,100*(C9+2*H9+3*I9)/B9)</f>
        <v>54.285714285714285</v>
      </c>
      <c r="Y9" s="19">
        <f>IF(C9=0,0,(J9+K9)/C9)</f>
        <v>0.22800000000000001</v>
      </c>
      <c r="Z9" s="19"/>
      <c r="AA9" s="19">
        <f>MAX(0,MIN(10,5+50*(D9-0.55)+25*(E9-F9)))</f>
        <v>5.899999999999995</v>
      </c>
      <c r="AB9" s="19">
        <f>MAX(0,MIN(10,0.2*G9+5*Y9))</f>
        <v>4.5380000000000003</v>
      </c>
      <c r="AC9" s="19">
        <f t="shared" ref="AC9:AC16" si="0">MAX(0,MIN(10,X9/4))</f>
        <v>10</v>
      </c>
      <c r="AD9" s="19">
        <f>MAX(0,MIN(10,2+0.15*G9+4*Y9-0.03*((L9+M9)/2)))</f>
        <v>5.4389704999999999</v>
      </c>
      <c r="AE9" s="19">
        <f>MAX(0,MIN(10,0.15*N9+0.08*O9))</f>
        <v>9.326000000000001E-3</v>
      </c>
      <c r="AF9" s="19"/>
      <c r="AG9" s="19"/>
      <c r="AH9" s="19">
        <f>MAX(0,MIN(10,P9/3.2-2*U9))</f>
        <v>8.0374999999999996</v>
      </c>
      <c r="AI9" s="19">
        <f>10*(0.22*AA9+0.2*AB9+0.18*AC9+0.12*AD9+0.1*AE9+0.13*T9+0.05*AH9)</f>
        <v>57.110840599999989</v>
      </c>
      <c r="AJ9" s="19">
        <f>AI9*V9</f>
        <v>57.110840599999989</v>
      </c>
      <c r="AK9" s="20">
        <f>AJ9*(P9/200)</f>
        <v>7.7099634809999991</v>
      </c>
      <c r="AN9" s="4" t="s">
        <v>55</v>
      </c>
      <c r="AO9" s="21">
        <f>AK49</f>
        <v>90.816613558501771</v>
      </c>
    </row>
    <row r="10" spans="1:50" x14ac:dyDescent="0.25">
      <c r="A10" t="s">
        <v>56</v>
      </c>
      <c r="B10" s="15">
        <v>72</v>
      </c>
      <c r="C10" s="15">
        <v>6</v>
      </c>
      <c r="D10" s="16">
        <v>0.23080000000000001</v>
      </c>
      <c r="E10" s="16">
        <v>0.2273</v>
      </c>
      <c r="F10" s="15">
        <v>0.51</v>
      </c>
      <c r="G10" s="15">
        <v>17.28</v>
      </c>
      <c r="H10" s="15">
        <v>0</v>
      </c>
      <c r="I10" s="17">
        <v>3</v>
      </c>
      <c r="J10" s="15">
        <v>2</v>
      </c>
      <c r="K10" s="15">
        <v>0</v>
      </c>
      <c r="L10" s="18">
        <v>0</v>
      </c>
      <c r="M10" s="18">
        <v>1</v>
      </c>
      <c r="N10" s="16">
        <v>5.4100000000000002E-2</v>
      </c>
      <c r="O10" s="16">
        <v>0.125</v>
      </c>
      <c r="P10" s="15">
        <v>20</v>
      </c>
      <c r="Q10" s="15"/>
      <c r="R10" s="15"/>
      <c r="S10" s="15"/>
      <c r="T10" s="15">
        <v>4</v>
      </c>
      <c r="U10" s="15">
        <v>0.2</v>
      </c>
      <c r="V10" s="15">
        <v>1</v>
      </c>
      <c r="W10" s="15"/>
      <c r="X10" s="19">
        <f>IF(B10=0,0,100*(C10+2*H10+3*I10)/B10)</f>
        <v>20.833333333333332</v>
      </c>
      <c r="Y10" s="19">
        <f>IF(C10=0,0,(J10+K10)/C10)</f>
        <v>0.33333333333333331</v>
      </c>
      <c r="Z10" s="19"/>
      <c r="AA10" s="19">
        <f>MAX(0,MIN(10,5+50*(D10-0.55)+25*(E10-F10)))</f>
        <v>0</v>
      </c>
      <c r="AB10" s="19">
        <f>MAX(0,MIN(10,0.2*G10+5*Y10))</f>
        <v>5.1226666666666674</v>
      </c>
      <c r="AC10" s="19">
        <f t="shared" si="0"/>
        <v>5.208333333333333</v>
      </c>
      <c r="AD10" s="19">
        <f>MAX(0,MIN(10,2+0.15*G10+4*Y10-0.03*((L10+M10)/2)))</f>
        <v>5.9103333333333339</v>
      </c>
      <c r="AE10" s="19">
        <f>MAX(0,MIN(10,0.15*N10+0.08*O10))</f>
        <v>1.8114999999999999E-2</v>
      </c>
      <c r="AF10" s="19"/>
      <c r="AG10" s="19"/>
      <c r="AH10" s="19">
        <f>MAX(0,MIN(10,P10/3.2-2*U10))</f>
        <v>5.85</v>
      </c>
      <c r="AI10" s="19">
        <f>10*(0.22*AA10+0.2*AB10+0.18*AC10+0.12*AD10+0.1*AE10+0.13*T10+0.05*AH10)</f>
        <v>34.855848333333334</v>
      </c>
      <c r="AJ10" s="19">
        <f>AI10*V10</f>
        <v>34.855848333333334</v>
      </c>
      <c r="AK10" s="20">
        <f>AJ10*(P10/200)</f>
        <v>3.4855848333333337</v>
      </c>
      <c r="AN10" s="4" t="s">
        <v>57</v>
      </c>
      <c r="AO10" s="21">
        <f>AK176</f>
        <v>85.07506213601242</v>
      </c>
    </row>
    <row r="11" spans="1:50" x14ac:dyDescent="0.25">
      <c r="A11" s="22" t="s">
        <v>58</v>
      </c>
      <c r="B11" s="15">
        <v>1856</v>
      </c>
      <c r="C11" s="15">
        <v>440</v>
      </c>
      <c r="D11" s="16">
        <v>0.54190000000000005</v>
      </c>
      <c r="E11" s="16">
        <v>0.46410000000000001</v>
      </c>
      <c r="F11" s="15">
        <v>0.56000000000000005</v>
      </c>
      <c r="G11" s="15">
        <v>23.82</v>
      </c>
      <c r="H11" s="15">
        <v>182</v>
      </c>
      <c r="I11" s="17">
        <v>6</v>
      </c>
      <c r="J11" s="15">
        <v>116</v>
      </c>
      <c r="K11" s="15">
        <v>6</v>
      </c>
      <c r="L11" s="16">
        <v>0.61070000000000002</v>
      </c>
      <c r="M11" s="18">
        <v>0.5</v>
      </c>
      <c r="N11" s="16">
        <v>0.13619999999999999</v>
      </c>
      <c r="O11" s="16">
        <v>0.26040000000000002</v>
      </c>
      <c r="P11" s="15">
        <v>32</v>
      </c>
      <c r="Q11" s="15"/>
      <c r="R11" s="15"/>
      <c r="S11" s="15"/>
      <c r="T11" s="15">
        <v>8.5</v>
      </c>
      <c r="U11" s="15">
        <v>0.5</v>
      </c>
      <c r="V11" s="15">
        <v>1.05</v>
      </c>
      <c r="W11" s="15"/>
      <c r="X11" s="19">
        <f>IF(B11=0,0,100*(C11+2*H11+3*I11)/B11)</f>
        <v>44.288793103448278</v>
      </c>
      <c r="Y11" s="19">
        <f>IF(C11=0,0,(J11+K11)/C11)</f>
        <v>0.27727272727272728</v>
      </c>
      <c r="Z11" s="19"/>
      <c r="AA11" s="19">
        <f>MAX(0,MIN(10,5+50*(D11-0.55)+25*(E11-F11)))</f>
        <v>2.1974999999999998</v>
      </c>
      <c r="AB11" s="19">
        <f>MAX(0,MIN(10,0.2*G11+5*Y11))</f>
        <v>6.1503636363636369</v>
      </c>
      <c r="AC11" s="19">
        <f t="shared" si="0"/>
        <v>10</v>
      </c>
      <c r="AD11" s="19">
        <f>MAX(0,MIN(10,2+0.15*G11+4*Y11-0.03*((L11+M11)/2)))</f>
        <v>6.6654304090909093</v>
      </c>
      <c r="AE11" s="19">
        <f>MAX(0,MIN(10,0.15*N11+0.08*O11))</f>
        <v>4.1262E-2</v>
      </c>
      <c r="AF11" s="19"/>
      <c r="AG11" s="19"/>
      <c r="AH11" s="19">
        <f>MAX(0,MIN(10,P11/3.2-2*U11))</f>
        <v>9</v>
      </c>
      <c r="AI11" s="19">
        <f>10*(0.22*AA11+0.2*AB11+0.18*AC11+0.12*AD11+0.1*AE11+0.13*T11+0.05*AH11)</f>
        <v>58.725005763636375</v>
      </c>
      <c r="AJ11" s="19">
        <f>AI11*V11</f>
        <v>61.661256051818199</v>
      </c>
      <c r="AK11" s="20">
        <f>AJ11*(P11/200)</f>
        <v>9.8658009682909125</v>
      </c>
      <c r="AN11" s="4" t="s">
        <v>59</v>
      </c>
      <c r="AO11" s="21">
        <f>AK27</f>
        <v>81.364742335072449</v>
      </c>
    </row>
    <row r="12" spans="1:50" x14ac:dyDescent="0.25">
      <c r="A12" t="s">
        <v>60</v>
      </c>
      <c r="B12" s="15">
        <v>2194</v>
      </c>
      <c r="C12" s="15">
        <v>577</v>
      </c>
      <c r="D12" s="16">
        <v>0.52380000000000004</v>
      </c>
      <c r="E12" s="16">
        <v>0.47789999999999999</v>
      </c>
      <c r="F12" s="15">
        <v>0.49</v>
      </c>
      <c r="G12" s="15">
        <v>23.62</v>
      </c>
      <c r="H12" s="15">
        <v>30</v>
      </c>
      <c r="I12" s="17">
        <v>225</v>
      </c>
      <c r="J12" s="15">
        <v>140</v>
      </c>
      <c r="K12" s="15">
        <v>81</v>
      </c>
      <c r="L12" s="16">
        <v>0.17649999999999999</v>
      </c>
      <c r="M12" s="16">
        <v>0.73529999999999995</v>
      </c>
      <c r="N12" s="16">
        <v>2.8799999999999999E-2</v>
      </c>
      <c r="O12" s="18">
        <v>0.11</v>
      </c>
      <c r="P12" s="15">
        <v>32</v>
      </c>
      <c r="Q12" s="15"/>
      <c r="R12" s="15"/>
      <c r="S12" s="15"/>
      <c r="T12" s="15">
        <v>6</v>
      </c>
      <c r="U12" s="15">
        <v>0.2</v>
      </c>
      <c r="V12" s="15">
        <v>1.05</v>
      </c>
      <c r="W12" s="15"/>
      <c r="X12" s="19">
        <f>IF(B12=0,0,100*(C12+2*H12+3*I12)/B12)</f>
        <v>59.799453053783047</v>
      </c>
      <c r="Y12" s="19">
        <f>IF(C12=0,0,(J12+K12)/C12)</f>
        <v>0.38301559792027728</v>
      </c>
      <c r="Z12" s="19"/>
      <c r="AA12" s="19">
        <f>MAX(0,MIN(10,5+50*(D12-0.55)+25*(E12-F12)))</f>
        <v>3.3875000000000002</v>
      </c>
      <c r="AB12" s="19">
        <f>MAX(0,MIN(10,0.2*G12+5*Y12))</f>
        <v>6.6390779896013861</v>
      </c>
      <c r="AC12" s="19">
        <f t="shared" si="0"/>
        <v>10</v>
      </c>
      <c r="AD12" s="19">
        <f>MAX(0,MIN(10,2+0.15*G12+4*Y12-0.03*((L12+M12)/2)))</f>
        <v>7.0613853916811093</v>
      </c>
      <c r="AE12" s="19">
        <f>MAX(0,MIN(10,0.15*N12+0.08*O12))</f>
        <v>1.312E-2</v>
      </c>
      <c r="AF12" s="19"/>
      <c r="AG12" s="19"/>
      <c r="AH12" s="19">
        <f>MAX(0,MIN(10,P12/3.2-2*U12))</f>
        <v>9.6</v>
      </c>
      <c r="AI12" s="19">
        <f>10*(0.22*AA12+0.2*AB12+0.18*AC12+0.12*AD12+0.1*AE12+0.13*T12+0.05*AH12)</f>
        <v>59.817438449220113</v>
      </c>
      <c r="AJ12" s="19">
        <f>AI12*V12</f>
        <v>62.808310371681124</v>
      </c>
      <c r="AK12" s="20">
        <f>AJ12*(P12/200)</f>
        <v>10.049329659468979</v>
      </c>
      <c r="AN12" s="4" t="s">
        <v>61</v>
      </c>
      <c r="AO12" s="21">
        <f>AK192</f>
        <v>78.679686237176142</v>
      </c>
    </row>
    <row r="13" spans="1:50" x14ac:dyDescent="0.25">
      <c r="A13" t="s">
        <v>62</v>
      </c>
      <c r="B13" s="15">
        <v>2768</v>
      </c>
      <c r="C13" s="15">
        <v>773</v>
      </c>
      <c r="D13" s="16">
        <v>0.59499999999999997</v>
      </c>
      <c r="E13" s="16">
        <v>0.5403</v>
      </c>
      <c r="F13" s="15">
        <v>0.52</v>
      </c>
      <c r="G13" s="15">
        <v>22.4</v>
      </c>
      <c r="H13" s="15">
        <v>182</v>
      </c>
      <c r="I13" s="17">
        <v>282</v>
      </c>
      <c r="J13" s="15">
        <v>114</v>
      </c>
      <c r="K13" s="15">
        <v>12</v>
      </c>
      <c r="L13" s="16">
        <v>0.6149</v>
      </c>
      <c r="M13" s="16">
        <v>0.95920000000000005</v>
      </c>
      <c r="N13" s="16">
        <v>2.7E-2</v>
      </c>
      <c r="O13" s="16">
        <v>0.12920000000000001</v>
      </c>
      <c r="P13" s="15">
        <v>33</v>
      </c>
      <c r="Q13" s="15"/>
      <c r="R13" s="15"/>
      <c r="S13" s="15"/>
      <c r="T13" s="15">
        <v>6.5</v>
      </c>
      <c r="U13" s="15">
        <v>0.3</v>
      </c>
      <c r="V13" s="15">
        <v>1.05</v>
      </c>
      <c r="W13" s="15"/>
      <c r="X13" s="19">
        <f>IF(B13=0,0,100*(C13+2*H13+3*I13)/B13)</f>
        <v>71.640173410404628</v>
      </c>
      <c r="Y13" s="19">
        <f>IF(C13=0,0,(J13+K13)/C13)</f>
        <v>0.16300129366106081</v>
      </c>
      <c r="Z13" s="19"/>
      <c r="AA13" s="19">
        <f>MAX(0,MIN(10,5+50*(D13-0.55)+25*(E13-F13)))</f>
        <v>7.7574999999999958</v>
      </c>
      <c r="AB13" s="19">
        <f>MAX(0,MIN(10,0.2*G13+5*Y13))</f>
        <v>5.2950064683053037</v>
      </c>
      <c r="AC13" s="19">
        <f t="shared" si="0"/>
        <v>10</v>
      </c>
      <c r="AD13" s="19">
        <f>MAX(0,MIN(10,2+0.15*G13+4*Y13-0.03*((L13+M13)/2)))</f>
        <v>5.9883936746442421</v>
      </c>
      <c r="AE13" s="19">
        <f>MAX(0,MIN(10,0.15*N13+0.08*O13))</f>
        <v>1.4386000000000001E-2</v>
      </c>
      <c r="AF13" s="19"/>
      <c r="AG13" s="19"/>
      <c r="AH13" s="19">
        <f>MAX(0,MIN(10,P13/3.2-2*U13))</f>
        <v>9.7125000000000004</v>
      </c>
      <c r="AI13" s="19">
        <f>10*(0.22*AA13+0.2*AB13+0.18*AC13+0.12*AD13+0.1*AE13+0.13*T13+0.05*AH13)</f>
        <v>66.16322134618369</v>
      </c>
      <c r="AJ13" s="19">
        <f>AI13*V13</f>
        <v>69.471382413492876</v>
      </c>
      <c r="AK13" s="20">
        <f>AJ13*(P13/200)</f>
        <v>11.462778098226325</v>
      </c>
      <c r="AN13" s="4" t="s">
        <v>63</v>
      </c>
      <c r="AO13" s="21">
        <f>AK209</f>
        <v>76.284899156453307</v>
      </c>
    </row>
    <row r="14" spans="1:50" x14ac:dyDescent="0.25">
      <c r="A14" t="s">
        <v>64</v>
      </c>
      <c r="B14" s="15">
        <v>168</v>
      </c>
      <c r="C14" s="15">
        <v>27</v>
      </c>
      <c r="D14" s="16">
        <v>0.5</v>
      </c>
      <c r="E14" s="16">
        <v>0.34089999999999998</v>
      </c>
      <c r="F14" s="15">
        <v>0.51</v>
      </c>
      <c r="G14" s="15">
        <v>17.28</v>
      </c>
      <c r="H14" s="15">
        <v>6</v>
      </c>
      <c r="I14" s="17">
        <v>3</v>
      </c>
      <c r="J14" s="15">
        <v>6</v>
      </c>
      <c r="K14" s="15">
        <v>0</v>
      </c>
      <c r="L14" s="16">
        <v>0.5</v>
      </c>
      <c r="M14" s="16">
        <v>1</v>
      </c>
      <c r="N14" s="16">
        <v>3.9E-2</v>
      </c>
      <c r="O14" s="16">
        <v>0.18179999999999999</v>
      </c>
      <c r="P14" s="15">
        <v>7</v>
      </c>
      <c r="Q14" s="15"/>
      <c r="R14" s="15"/>
      <c r="S14" s="15"/>
      <c r="T14" s="15">
        <v>6</v>
      </c>
      <c r="U14" s="15">
        <v>0.2</v>
      </c>
      <c r="V14" s="15">
        <v>0.98</v>
      </c>
      <c r="W14" s="15"/>
      <c r="X14" s="19">
        <f>IF(B14=0,0,100*(C14+2*H14+3*I14)/B14)</f>
        <v>28.571428571428573</v>
      </c>
      <c r="Y14" s="19">
        <f>IF(C14=0,0,(J14+K14)/C14)</f>
        <v>0.22222222222222221</v>
      </c>
      <c r="Z14" s="19"/>
      <c r="AA14" s="19">
        <f>MAX(0,MIN(10,5+50*(D14-0.55)+25*(E14-F14)))</f>
        <v>0</v>
      </c>
      <c r="AB14" s="19">
        <f>MAX(0,MIN(10,0.2*G14+5*Y14))</f>
        <v>4.567111111111112</v>
      </c>
      <c r="AC14" s="19">
        <f t="shared" si="0"/>
        <v>7.1428571428571432</v>
      </c>
      <c r="AD14" s="19">
        <f>MAX(0,MIN(10,2+0.15*G14+4*Y14-0.03*((L14+M14)/2)))</f>
        <v>5.4583888888888898</v>
      </c>
      <c r="AE14" s="19">
        <f>MAX(0,MIN(10,0.15*N14+0.08*O14))</f>
        <v>2.0393999999999999E-2</v>
      </c>
      <c r="AF14" s="19"/>
      <c r="AG14" s="19"/>
      <c r="AH14" s="19">
        <f>MAX(0,MIN(10,P14/3.2-2*U14))</f>
        <v>1.7875000000000001</v>
      </c>
      <c r="AI14" s="19">
        <f>10*(0.22*AA14+0.2*AB14+0.18*AC14+0.12*AD14+0.1*AE14+0.13*T14+0.05*AH14)</f>
        <v>37.255575746031752</v>
      </c>
      <c r="AJ14" s="19">
        <f>AI14*V14</f>
        <v>36.510464231111115</v>
      </c>
      <c r="AK14" s="20">
        <f>AJ14*(P14/200)</f>
        <v>1.2778662480888892</v>
      </c>
      <c r="AN14" s="4" t="s">
        <v>65</v>
      </c>
      <c r="AO14" s="21">
        <f>AK107</f>
        <v>76.108479596321303</v>
      </c>
    </row>
    <row r="15" spans="1:50" x14ac:dyDescent="0.25">
      <c r="A15" t="s">
        <v>66</v>
      </c>
      <c r="B15" s="15">
        <v>2213</v>
      </c>
      <c r="C15" s="15">
        <v>564</v>
      </c>
      <c r="D15" s="16">
        <v>0.58389999999999997</v>
      </c>
      <c r="E15" s="16">
        <v>0.54100000000000004</v>
      </c>
      <c r="F15" s="15">
        <v>0.55000000000000004</v>
      </c>
      <c r="G15" s="15">
        <v>21.06</v>
      </c>
      <c r="H15" s="15">
        <v>316</v>
      </c>
      <c r="I15" s="17">
        <v>30</v>
      </c>
      <c r="J15" s="15">
        <v>110</v>
      </c>
      <c r="K15" s="15">
        <v>6</v>
      </c>
      <c r="L15" s="16">
        <v>0.74180000000000001</v>
      </c>
      <c r="M15" s="16">
        <v>0.83330000000000004</v>
      </c>
      <c r="N15" s="16">
        <v>0.11849999999999999</v>
      </c>
      <c r="O15" s="16">
        <v>0.1527</v>
      </c>
      <c r="P15" s="15">
        <v>29</v>
      </c>
      <c r="Q15" s="15"/>
      <c r="R15" s="15"/>
      <c r="S15" s="15"/>
      <c r="T15" s="15">
        <v>6</v>
      </c>
      <c r="U15" s="15">
        <v>0.2</v>
      </c>
      <c r="V15" s="15">
        <v>1</v>
      </c>
      <c r="W15" s="15"/>
      <c r="X15" s="19">
        <f>IF(B15=0,0,100*(C15+2*H15+3*I15)/B15)</f>
        <v>58.111161319475826</v>
      </c>
      <c r="Y15" s="19">
        <f>IF(C15=0,0,(J15+K15)/C15)</f>
        <v>0.20567375886524822</v>
      </c>
      <c r="Z15" s="19"/>
      <c r="AA15" s="19">
        <f>MAX(0,MIN(10,5+50*(D15-0.55)+25*(E15-F15)))</f>
        <v>6.4699999999999962</v>
      </c>
      <c r="AB15" s="19">
        <f>MAX(0,MIN(10,0.2*G15+5*Y15))</f>
        <v>5.2403687943262405</v>
      </c>
      <c r="AC15" s="19">
        <f t="shared" si="0"/>
        <v>10</v>
      </c>
      <c r="AD15" s="19">
        <f>MAX(0,MIN(10,2+0.15*G15+4*Y15-0.03*((L15+M15)/2)))</f>
        <v>5.9580685354609928</v>
      </c>
      <c r="AE15" s="19">
        <f>MAX(0,MIN(10,0.15*N15+0.08*O15))</f>
        <v>2.9991E-2</v>
      </c>
      <c r="AF15" s="19"/>
      <c r="AG15" s="19"/>
      <c r="AH15" s="19">
        <f>MAX(0,MIN(10,P15/3.2-2*U15))</f>
        <v>8.6624999999999996</v>
      </c>
      <c r="AI15" s="19">
        <f>10*(0.22*AA15+0.2*AB15+0.18*AC15+0.12*AD15+0.1*AE15+0.13*T15+0.05*AH15)</f>
        <v>62.02566083120567</v>
      </c>
      <c r="AJ15" s="19">
        <f>AI15*V15</f>
        <v>62.02566083120567</v>
      </c>
      <c r="AK15" s="20">
        <f>AJ15*(P15/200)</f>
        <v>8.9937208205248211</v>
      </c>
      <c r="AN15" s="4" t="s">
        <v>67</v>
      </c>
      <c r="AO15" s="21">
        <f>AK259</f>
        <v>73.848355811642691</v>
      </c>
    </row>
    <row r="16" spans="1:50" x14ac:dyDescent="0.25">
      <c r="A16" t="s">
        <v>68</v>
      </c>
      <c r="B16" s="15">
        <v>1499</v>
      </c>
      <c r="C16" s="15">
        <v>314</v>
      </c>
      <c r="D16" s="16">
        <v>0.49680000000000002</v>
      </c>
      <c r="E16" s="16">
        <v>0.44140000000000001</v>
      </c>
      <c r="F16" s="15">
        <v>0.51</v>
      </c>
      <c r="G16" s="15">
        <v>21.94</v>
      </c>
      <c r="H16" s="15">
        <v>46</v>
      </c>
      <c r="I16" s="17">
        <v>57</v>
      </c>
      <c r="J16" s="15">
        <v>120</v>
      </c>
      <c r="K16" s="15">
        <v>18</v>
      </c>
      <c r="L16" s="16">
        <v>0.27710000000000001</v>
      </c>
      <c r="M16" s="16">
        <v>0.76</v>
      </c>
      <c r="N16" s="16">
        <v>1.14E-2</v>
      </c>
      <c r="O16" s="16">
        <v>0.108</v>
      </c>
      <c r="P16" s="15">
        <v>28.5</v>
      </c>
      <c r="Q16" s="15"/>
      <c r="R16" s="15"/>
      <c r="S16" s="15"/>
      <c r="T16" s="15">
        <v>5</v>
      </c>
      <c r="U16" s="15">
        <v>0.2</v>
      </c>
      <c r="V16" s="15">
        <v>1</v>
      </c>
      <c r="W16" s="15"/>
      <c r="X16" s="19">
        <f>IF(B16=0,0,100*(C16+2*H16+3*I16)/B16)</f>
        <v>38.492328218812538</v>
      </c>
      <c r="Y16" s="19">
        <f>IF(C16=0,0,(J16+K16)/C16)</f>
        <v>0.43949044585987262</v>
      </c>
      <c r="Z16" s="19"/>
      <c r="AA16" s="19">
        <f>MAX(0,MIN(10,5+50*(D16-0.55)+25*(E16-F16)))</f>
        <v>0.62499999999999911</v>
      </c>
      <c r="AB16" s="19">
        <f>MAX(0,MIN(10,0.2*G16+5*Y16))</f>
        <v>6.5854522292993636</v>
      </c>
      <c r="AC16" s="19">
        <f t="shared" si="0"/>
        <v>9.6230820547031346</v>
      </c>
      <c r="AD16" s="19">
        <f>MAX(0,MIN(10,2+0.15*G16+4*Y16-0.03*((L16+M16)/2)))</f>
        <v>7.0334052834394916</v>
      </c>
      <c r="AE16" s="19">
        <f>MAX(0,MIN(10,0.15*N16+0.08*O16))</f>
        <v>1.035E-2</v>
      </c>
      <c r="AF16" s="19"/>
      <c r="AG16" s="19"/>
      <c r="AH16" s="19">
        <f>MAX(0,MIN(10,P16/3.2-2*U16))</f>
        <v>8.5062499999999996</v>
      </c>
      <c r="AI16" s="19">
        <f>10*(0.22*AA16+0.2*AB16+0.18*AC16+0.12*AD16+0.1*AE16+0.13*T16+0.05*AH16)</f>
        <v>51.071013497191764</v>
      </c>
      <c r="AJ16" s="19">
        <f>AI16*V16</f>
        <v>51.071013497191764</v>
      </c>
      <c r="AK16" s="20">
        <f>AJ16*(P16/200)</f>
        <v>7.2776194233498259</v>
      </c>
      <c r="AN16" s="4" t="s">
        <v>69</v>
      </c>
      <c r="AO16" s="21">
        <f>AK87</f>
        <v>73.526063077953893</v>
      </c>
    </row>
    <row r="17" spans="1:50" x14ac:dyDescent="0.25">
      <c r="A17" t="s">
        <v>70</v>
      </c>
      <c r="B17" s="15">
        <v>0.56599999999999995</v>
      </c>
      <c r="C17" s="15">
        <v>0.52200000000000002</v>
      </c>
      <c r="D17" s="15">
        <v>0.35699999999999998</v>
      </c>
      <c r="E17" s="15">
        <v>0.33500000000000002</v>
      </c>
      <c r="F17" s="16">
        <v>4.2999999999999997E-2</v>
      </c>
      <c r="G17" s="16">
        <v>0.114</v>
      </c>
      <c r="H17" s="16">
        <v>0.21299999999999999</v>
      </c>
      <c r="I17" s="23">
        <v>1.4E-2</v>
      </c>
      <c r="J17" s="16">
        <v>1.9E-2</v>
      </c>
      <c r="K17" s="18">
        <v>0.11</v>
      </c>
      <c r="L17" s="16">
        <v>0.27</v>
      </c>
      <c r="M17" s="15">
        <v>115.6</v>
      </c>
      <c r="N17" s="15">
        <v>95.4</v>
      </c>
      <c r="O17" s="15">
        <v>0.23300000000000001</v>
      </c>
      <c r="P17" s="15">
        <v>7.8</v>
      </c>
      <c r="Q17" s="15">
        <v>0.6</v>
      </c>
      <c r="R17" s="15">
        <v>8.4</v>
      </c>
      <c r="S17" s="15">
        <v>15</v>
      </c>
      <c r="T17" s="15">
        <v>5</v>
      </c>
      <c r="U17" s="15">
        <v>0.2</v>
      </c>
      <c r="V17" s="15">
        <v>1</v>
      </c>
      <c r="W17" s="15">
        <v>0.95</v>
      </c>
      <c r="X17" s="19">
        <f>MAX(0,MIN(100,0.45*M17+0.6*H17+0.35*L17-0.2*K17-15))</f>
        <v>37.220299999999995</v>
      </c>
      <c r="Y17" s="19">
        <f>MAX(0,MIN(1,0.012*L17+0.025*P17+0.3*E17+0.2*D17-0.18))</f>
        <v>0.19014000000000003</v>
      </c>
      <c r="Z17" s="19">
        <f>MAX(0,MIN(10,1+0.45*R17+30*O17+0.04*(M17-N17)))</f>
        <v>10</v>
      </c>
      <c r="AA17" s="19">
        <f>MAX(0,MIN(10,3+20*(B17-0.52)+15*(C17-0.5)+0.06*(M17-100)))</f>
        <v>5.1859999999999991</v>
      </c>
      <c r="AB17" s="19">
        <f>MAX(0,MIN(10,0.16*L17+0.55*P17+4*E17))</f>
        <v>5.6731999999999996</v>
      </c>
      <c r="AC17" s="19">
        <f>MAX(0,MIN(10,2+0.22*H17-0.12*K17+0.15*P17))</f>
        <v>3.2036600000000002</v>
      </c>
      <c r="AD17" s="19">
        <f>MAX(0,MIN(10,2+0.28*P17+0.1*L17+2*D17+1.5*E17))</f>
        <v>5.4275000000000011</v>
      </c>
      <c r="AE17" s="19">
        <f>MAX(0,MIN(10,0.18*F17+0.08*G17))</f>
        <v>1.686E-2</v>
      </c>
      <c r="AF17" s="19">
        <f>MAX(0,MIN(10,4+0.3*Q17+0.6*I17+0.5*J17+0.03*(105-N17)))</f>
        <v>4.4858999999999991</v>
      </c>
      <c r="AG17" s="19">
        <f>0.6*AF17+0.4*T17</f>
        <v>4.6915399999999998</v>
      </c>
      <c r="AH17" s="19">
        <f>MAX(0,MIN(10,S17/3.2-2*U17))</f>
        <v>4.2874999999999996</v>
      </c>
      <c r="AI17" s="19">
        <f>10*(0.18*Z17+0.17*AA17+0.15*AB17+0.14*AC17+0.1*AD17+0.08*AE17+0.1*AG17+0.08*AH17)</f>
        <v>53.373651999999993</v>
      </c>
      <c r="AJ17" s="19">
        <f>AI17*V17*W17</f>
        <v>50.704969399999989</v>
      </c>
      <c r="AK17" s="20">
        <f>AJ17*(P17/200)</f>
        <v>1.9774938065999996</v>
      </c>
      <c r="AN17" s="4" t="s">
        <v>71</v>
      </c>
      <c r="AO17" s="21">
        <f>AK69</f>
        <v>71.743851059500599</v>
      </c>
    </row>
    <row r="18" spans="1:50" x14ac:dyDescent="0.25">
      <c r="A18" t="s">
        <v>72</v>
      </c>
      <c r="B18" s="16">
        <v>0.56899999999999995</v>
      </c>
      <c r="C18" s="16">
        <v>0.51</v>
      </c>
      <c r="D18" s="16">
        <v>0.35</v>
      </c>
      <c r="E18" s="16">
        <v>0.3</v>
      </c>
      <c r="F18" s="16">
        <v>0.03</v>
      </c>
      <c r="G18" s="16">
        <v>0.125</v>
      </c>
      <c r="H18" s="16">
        <v>0.18</v>
      </c>
      <c r="I18" s="23">
        <v>3.1E-2</v>
      </c>
      <c r="J18" s="16">
        <v>0.01</v>
      </c>
      <c r="K18" s="16">
        <v>0.13800000000000001</v>
      </c>
      <c r="L18" s="16">
        <v>0.29499999999999998</v>
      </c>
      <c r="M18" s="16">
        <v>111.5</v>
      </c>
      <c r="N18" s="16">
        <v>86.5</v>
      </c>
      <c r="O18" s="16">
        <v>0.25</v>
      </c>
      <c r="P18" s="15">
        <v>7.8</v>
      </c>
      <c r="Q18" s="15">
        <v>3.6</v>
      </c>
      <c r="R18" s="15">
        <v>11.4</v>
      </c>
      <c r="S18" s="15">
        <v>14</v>
      </c>
      <c r="T18" s="15">
        <v>6</v>
      </c>
      <c r="U18" s="15">
        <v>0.2</v>
      </c>
      <c r="V18" s="15">
        <v>1.02</v>
      </c>
      <c r="W18" s="15">
        <v>1</v>
      </c>
      <c r="X18" s="19">
        <f t="shared" ref="X18:X23" si="1">MAX(0,MIN(100,0.45*M18+0.6*H18+0.35*L18-0.2*K18-15))</f>
        <v>35.358650000000004</v>
      </c>
      <c r="Y18" s="19">
        <f t="shared" ref="Y18:Y25" si="2">MAX(0,MIN(1,0.012*L18+0.025*P18+0.3*E18+0.2*D18-0.18))</f>
        <v>0.17854000000000003</v>
      </c>
      <c r="Z18" s="19">
        <f t="shared" ref="Z18:Z25" si="3">MAX(0,MIN(10,1+0.45*R18+30*O18+0.04*(M18-N18)))</f>
        <v>10</v>
      </c>
      <c r="AA18" s="19">
        <f t="shared" ref="AA18:AA25" si="4">MAX(0,MIN(10,3+20*(B18-0.52)+15*(C18-0.5)+0.06*(M18-100)))</f>
        <v>4.8199999999999985</v>
      </c>
      <c r="AB18" s="19">
        <f t="shared" ref="AB18:AB25" si="5">MAX(0,MIN(10,0.16*L18+0.55*P18+4*E18))</f>
        <v>5.5372000000000003</v>
      </c>
      <c r="AC18" s="19">
        <f>MAX(0,MIN(10,2+0.22*H18-0.12*K18+0.15*P18))</f>
        <v>3.1930399999999999</v>
      </c>
      <c r="AD18" s="19">
        <f t="shared" ref="AD18:AD25" si="6">MAX(0,MIN(10,2+0.28*P18+0.1*L18+2*D18+1.5*E18))</f>
        <v>5.3635000000000002</v>
      </c>
      <c r="AE18" s="19">
        <f t="shared" ref="AE18:AE25" si="7">MAX(0,MIN(10,0.18*F18+0.08*G18))</f>
        <v>1.54E-2</v>
      </c>
      <c r="AF18" s="19">
        <f t="shared" ref="AF18:AF25" si="8">MAX(0,MIN(10,4+0.3*Q18+0.6*I18+0.5*J18+0.03*(105-N18)))</f>
        <v>5.6585999999999999</v>
      </c>
      <c r="AG18" s="19">
        <f t="shared" ref="AG18:AG25" si="9">0.6*AF18+0.4*T18</f>
        <v>5.7951600000000001</v>
      </c>
      <c r="AH18" s="19">
        <f t="shared" ref="AH18:AH25" si="10">MAX(0,MIN(10,S18/3.2-2*U18))</f>
        <v>3.9750000000000001</v>
      </c>
      <c r="AI18" s="19">
        <f t="shared" ref="AI18:AI25" si="11">10*(0.18*Z18+0.17*AA18+0.15*AB18+0.14*AC18+0.1*AD18+0.08*AE18+0.1*AG18+0.08*AH18)</f>
        <v>53.321035999999992</v>
      </c>
      <c r="AJ18" s="19">
        <f t="shared" ref="AJ18:AJ25" si="12">AI18*V18*W18</f>
        <v>54.387456719999996</v>
      </c>
      <c r="AK18" s="20">
        <f>AJ18*(P18/200)</f>
        <v>2.12111081208</v>
      </c>
      <c r="AN18" s="4" t="s">
        <v>73</v>
      </c>
      <c r="AO18" s="21">
        <f>AK304</f>
        <v>68.950635456846115</v>
      </c>
    </row>
    <row r="19" spans="1:50" x14ac:dyDescent="0.25">
      <c r="A19" t="s">
        <v>74</v>
      </c>
      <c r="B19" s="15">
        <v>0.625</v>
      </c>
      <c r="C19" s="15">
        <v>0.61599999999999999</v>
      </c>
      <c r="D19" s="15">
        <v>4.5999999999999999E-2</v>
      </c>
      <c r="E19" s="15">
        <v>0.246</v>
      </c>
      <c r="F19" s="16">
        <v>0.184</v>
      </c>
      <c r="G19" s="16">
        <v>0.28299999999999997</v>
      </c>
      <c r="H19" s="16">
        <v>7.0000000000000007E-2</v>
      </c>
      <c r="I19" s="23">
        <v>3.2000000000000001E-2</v>
      </c>
      <c r="J19" s="16">
        <v>5.6000000000000001E-2</v>
      </c>
      <c r="K19" s="18">
        <v>0.192</v>
      </c>
      <c r="L19" s="16">
        <v>0.24099999999999999</v>
      </c>
      <c r="M19" s="15">
        <v>114.6</v>
      </c>
      <c r="N19" s="15">
        <v>73.599999999999994</v>
      </c>
      <c r="O19" s="15">
        <v>0.30399999999999999</v>
      </c>
      <c r="P19" s="15">
        <v>8.5</v>
      </c>
      <c r="Q19" s="15">
        <v>5.5</v>
      </c>
      <c r="R19" s="15">
        <v>14</v>
      </c>
      <c r="S19" s="15">
        <v>17</v>
      </c>
      <c r="T19" s="15">
        <v>7</v>
      </c>
      <c r="U19" s="15">
        <v>0.2</v>
      </c>
      <c r="V19" s="15">
        <v>1</v>
      </c>
      <c r="W19" s="15">
        <v>0.97</v>
      </c>
      <c r="X19" s="19">
        <f t="shared" si="1"/>
        <v>36.65795</v>
      </c>
      <c r="Y19" s="19">
        <f t="shared" si="2"/>
        <v>0.118392</v>
      </c>
      <c r="Z19" s="19">
        <f t="shared" si="3"/>
        <v>10</v>
      </c>
      <c r="AA19" s="19">
        <f>MAX(0,MIN(10,3+20*(B19-0.52)+15*(C19-0.5)+0.06*(M19-100)))</f>
        <v>7.7159999999999993</v>
      </c>
      <c r="AB19" s="19">
        <f t="shared" si="5"/>
        <v>5.6975600000000011</v>
      </c>
      <c r="AC19" s="19">
        <f t="shared" ref="AC19:AC25" si="13">MAX(0,MIN(10,2+0.22*H19-0.12*K19+0.15*P19))</f>
        <v>3.26736</v>
      </c>
      <c r="AD19" s="19">
        <f t="shared" si="6"/>
        <v>4.8651</v>
      </c>
      <c r="AE19" s="19">
        <f t="shared" si="7"/>
        <v>5.575999999999999E-2</v>
      </c>
      <c r="AF19" s="19">
        <f t="shared" si="8"/>
        <v>6.6391999999999998</v>
      </c>
      <c r="AG19" s="19">
        <f t="shared" si="9"/>
        <v>6.7835199999999993</v>
      </c>
      <c r="AH19" s="19">
        <f t="shared" si="10"/>
        <v>4.9124999999999996</v>
      </c>
      <c r="AI19" s="19">
        <f t="shared" si="11"/>
        <v>59.861072</v>
      </c>
      <c r="AJ19" s="19">
        <f>AI19*V19*W19</f>
        <v>58.065239839999997</v>
      </c>
      <c r="AK19" s="20">
        <f>AJ19*(P19/200)</f>
        <v>2.4677726932000001</v>
      </c>
      <c r="AN19" s="4" t="s">
        <v>75</v>
      </c>
      <c r="AO19" s="21">
        <f>AK232</f>
        <v>65.6721451330706</v>
      </c>
    </row>
    <row r="20" spans="1:50" x14ac:dyDescent="0.25">
      <c r="A20" t="s">
        <v>76</v>
      </c>
      <c r="B20" s="15">
        <v>0.499</v>
      </c>
      <c r="C20" s="15">
        <v>0.44900000000000001</v>
      </c>
      <c r="D20" s="15">
        <v>0.3</v>
      </c>
      <c r="E20" s="15">
        <v>0.26400000000000001</v>
      </c>
      <c r="F20" s="16">
        <v>2.5999999999999999E-2</v>
      </c>
      <c r="G20" s="16">
        <v>6.8000000000000005E-2</v>
      </c>
      <c r="H20" s="16">
        <v>8.1000000000000003E-2</v>
      </c>
      <c r="I20" s="23">
        <v>3.5000000000000003E-2</v>
      </c>
      <c r="J20" s="16">
        <v>7.0000000000000001E-3</v>
      </c>
      <c r="K20" s="18">
        <v>0.122</v>
      </c>
      <c r="L20" s="16">
        <v>0.223</v>
      </c>
      <c r="M20" s="15">
        <v>106.3</v>
      </c>
      <c r="N20" s="15">
        <v>91.6</v>
      </c>
      <c r="O20" s="15">
        <v>0.16400000000000001</v>
      </c>
      <c r="P20" s="15">
        <v>3.2</v>
      </c>
      <c r="Q20" s="15">
        <v>3.3</v>
      </c>
      <c r="R20" s="15">
        <v>6.6</v>
      </c>
      <c r="S20" s="15">
        <v>14</v>
      </c>
      <c r="T20" s="15">
        <v>5</v>
      </c>
      <c r="U20" s="15">
        <v>0.2</v>
      </c>
      <c r="V20" s="15">
        <v>1</v>
      </c>
      <c r="W20" s="15">
        <v>0.96</v>
      </c>
      <c r="X20" s="19">
        <f t="shared" si="1"/>
        <v>32.937249999999999</v>
      </c>
      <c r="Y20" s="19">
        <f t="shared" si="2"/>
        <v>4.1876000000000024E-2</v>
      </c>
      <c r="Z20" s="19">
        <f t="shared" si="3"/>
        <v>9.4780000000000015</v>
      </c>
      <c r="AA20" s="19">
        <f t="shared" si="4"/>
        <v>2.1929999999999996</v>
      </c>
      <c r="AB20" s="19">
        <f t="shared" si="5"/>
        <v>2.85168</v>
      </c>
      <c r="AC20" s="19">
        <f t="shared" si="13"/>
        <v>2.4831799999999999</v>
      </c>
      <c r="AD20" s="19">
        <f t="shared" si="6"/>
        <v>3.9142999999999999</v>
      </c>
      <c r="AE20" s="19">
        <f t="shared" si="7"/>
        <v>1.0120000000000001E-2</v>
      </c>
      <c r="AF20" s="19">
        <f t="shared" si="8"/>
        <v>5.4165000000000001</v>
      </c>
      <c r="AG20" s="19">
        <f t="shared" si="9"/>
        <v>5.2499000000000002</v>
      </c>
      <c r="AH20" s="19">
        <f t="shared" si="10"/>
        <v>3.9750000000000001</v>
      </c>
      <c r="AI20" s="19">
        <f t="shared" si="11"/>
        <v>40.894767999999999</v>
      </c>
      <c r="AJ20" s="19">
        <f t="shared" si="12"/>
        <v>39.258977279999996</v>
      </c>
      <c r="AK20" s="20">
        <f>AJ20*(P20/200)</f>
        <v>0.62814363647999993</v>
      </c>
      <c r="AN20" s="4" t="s">
        <v>77</v>
      </c>
      <c r="AO20" s="21">
        <f>AK127</f>
        <v>58.408286110201374</v>
      </c>
    </row>
    <row r="21" spans="1:50" x14ac:dyDescent="0.25">
      <c r="A21" t="s">
        <v>78</v>
      </c>
      <c r="B21" s="15">
        <v>0.44700000000000001</v>
      </c>
      <c r="C21" s="15">
        <v>0.40400000000000003</v>
      </c>
      <c r="D21" s="15">
        <v>0.51300000000000001</v>
      </c>
      <c r="E21" s="15">
        <v>0.22700000000000001</v>
      </c>
      <c r="F21" s="16">
        <v>4.9000000000000002E-2</v>
      </c>
      <c r="G21" s="16">
        <v>0.17</v>
      </c>
      <c r="H21" s="16">
        <v>7.0000000000000007E-2</v>
      </c>
      <c r="I21" s="23">
        <v>3.1E-2</v>
      </c>
      <c r="J21" s="16">
        <v>4.5999999999999999E-2</v>
      </c>
      <c r="K21" s="18">
        <v>0.13200000000000001</v>
      </c>
      <c r="L21" s="16">
        <v>0.21</v>
      </c>
      <c r="M21" s="15">
        <v>93.5</v>
      </c>
      <c r="N21" s="15">
        <v>79.8</v>
      </c>
      <c r="O21" s="15">
        <v>0.154</v>
      </c>
      <c r="P21" s="15">
        <v>1.1000000000000001</v>
      </c>
      <c r="Q21" s="15">
        <v>5.9</v>
      </c>
      <c r="R21" s="15">
        <v>6.9</v>
      </c>
      <c r="S21" s="15">
        <v>12</v>
      </c>
      <c r="T21" s="15">
        <v>7</v>
      </c>
      <c r="U21" s="15">
        <v>0.2</v>
      </c>
      <c r="V21" s="15">
        <v>1</v>
      </c>
      <c r="W21" s="15">
        <v>0.93</v>
      </c>
      <c r="X21" s="19">
        <f t="shared" si="1"/>
        <v>27.164100000000005</v>
      </c>
      <c r="Y21" s="19">
        <f t="shared" si="2"/>
        <v>2.0720000000000016E-2</v>
      </c>
      <c r="Z21" s="19">
        <f t="shared" si="3"/>
        <v>9.2730000000000015</v>
      </c>
      <c r="AA21" s="19">
        <f t="shared" si="4"/>
        <v>0</v>
      </c>
      <c r="AB21" s="19">
        <f t="shared" si="5"/>
        <v>1.5466000000000002</v>
      </c>
      <c r="AC21" s="19">
        <f t="shared" si="13"/>
        <v>2.1645599999999998</v>
      </c>
      <c r="AD21" s="19">
        <f t="shared" si="6"/>
        <v>3.6954999999999996</v>
      </c>
      <c r="AE21" s="19">
        <f t="shared" si="7"/>
        <v>2.2420000000000002E-2</v>
      </c>
      <c r="AF21" s="19">
        <f t="shared" si="8"/>
        <v>6.5675999999999997</v>
      </c>
      <c r="AG21" s="19">
        <f t="shared" si="9"/>
        <v>6.7405600000000003</v>
      </c>
      <c r="AH21" s="19">
        <f t="shared" si="10"/>
        <v>3.35</v>
      </c>
      <c r="AI21" s="19">
        <f t="shared" si="11"/>
        <v>35.175680000000007</v>
      </c>
      <c r="AJ21" s="19">
        <f t="shared" si="12"/>
        <v>32.713382400000008</v>
      </c>
      <c r="AK21" s="20">
        <f>AJ21*(P21/200)</f>
        <v>0.17992360320000006</v>
      </c>
      <c r="AN21" s="4" t="s">
        <v>79</v>
      </c>
      <c r="AO21" s="21">
        <f>AK281</f>
        <v>56.206167003515723</v>
      </c>
    </row>
    <row r="22" spans="1:50" x14ac:dyDescent="0.25">
      <c r="A22" t="s">
        <v>80</v>
      </c>
      <c r="B22" s="15">
        <v>0.50600000000000001</v>
      </c>
      <c r="C22" s="15">
        <v>0.48899999999999999</v>
      </c>
      <c r="D22" s="15">
        <v>0.247</v>
      </c>
      <c r="E22" s="15">
        <v>0.27800000000000002</v>
      </c>
      <c r="F22" s="16">
        <v>4.9000000000000002E-2</v>
      </c>
      <c r="G22" s="16">
        <v>0.151</v>
      </c>
      <c r="H22" s="16">
        <v>0.23300000000000001</v>
      </c>
      <c r="I22" s="23">
        <v>5.2999999999999999E-2</v>
      </c>
      <c r="J22" s="16">
        <v>0.02</v>
      </c>
      <c r="K22" s="18">
        <v>0.19900000000000001</v>
      </c>
      <c r="L22" s="16">
        <v>0.22</v>
      </c>
      <c r="M22" s="15">
        <v>101.4</v>
      </c>
      <c r="N22" s="15">
        <v>77.599999999999994</v>
      </c>
      <c r="O22" s="15">
        <v>0.20799999999999999</v>
      </c>
      <c r="P22" s="15">
        <v>4.3</v>
      </c>
      <c r="Q22" s="15">
        <v>8.1</v>
      </c>
      <c r="R22" s="15">
        <v>12.4</v>
      </c>
      <c r="S22" s="15">
        <v>14</v>
      </c>
      <c r="T22" s="15">
        <v>6</v>
      </c>
      <c r="U22" s="15">
        <v>0.2</v>
      </c>
      <c r="V22" s="15">
        <v>1</v>
      </c>
      <c r="W22" s="15">
        <v>0.95</v>
      </c>
      <c r="X22" s="19">
        <f t="shared" si="1"/>
        <v>30.807000000000002</v>
      </c>
      <c r="Y22" s="19">
        <f t="shared" si="2"/>
        <v>6.2939999999999996E-2</v>
      </c>
      <c r="Z22" s="19">
        <f t="shared" si="3"/>
        <v>10</v>
      </c>
      <c r="AA22" s="19">
        <f t="shared" si="4"/>
        <v>2.6390000000000002</v>
      </c>
      <c r="AB22" s="19">
        <f t="shared" si="5"/>
        <v>3.5122000000000004</v>
      </c>
      <c r="AC22" s="19">
        <f t="shared" si="13"/>
        <v>2.67238</v>
      </c>
      <c r="AD22" s="19">
        <f t="shared" si="6"/>
        <v>4.1369999999999996</v>
      </c>
      <c r="AE22" s="19">
        <f t="shared" si="7"/>
        <v>2.0900000000000002E-2</v>
      </c>
      <c r="AF22" s="19">
        <f t="shared" si="8"/>
        <v>7.2937999999999992</v>
      </c>
      <c r="AG22" s="19">
        <f t="shared" si="9"/>
        <v>6.7762799999999999</v>
      </c>
      <c r="AH22" s="19">
        <f t="shared" si="10"/>
        <v>3.9750000000000001</v>
      </c>
      <c r="AI22" s="19">
        <f t="shared" si="11"/>
        <v>45.605931999999996</v>
      </c>
      <c r="AJ22" s="19">
        <f t="shared" si="12"/>
        <v>43.325635399999996</v>
      </c>
      <c r="AK22" s="20">
        <f>AJ22*(P22/200)</f>
        <v>0.93150116109999981</v>
      </c>
      <c r="AN22" s="4" t="s">
        <v>81</v>
      </c>
      <c r="AO22" s="21">
        <f>AK325</f>
        <v>55.575591005949605</v>
      </c>
    </row>
    <row r="23" spans="1:50" x14ac:dyDescent="0.25">
      <c r="A23" t="s">
        <v>82</v>
      </c>
      <c r="B23" s="15">
        <v>0.59799999999999998</v>
      </c>
      <c r="C23" s="15">
        <v>0.57199999999999995</v>
      </c>
      <c r="D23" s="15">
        <v>0</v>
      </c>
      <c r="E23" s="15">
        <v>0.40300000000000002</v>
      </c>
      <c r="F23" s="16">
        <v>0.187</v>
      </c>
      <c r="G23" s="16">
        <v>0.17899999999999999</v>
      </c>
      <c r="H23" s="16">
        <v>0.13200000000000001</v>
      </c>
      <c r="I23" s="23">
        <v>2.3E-2</v>
      </c>
      <c r="J23" s="16">
        <v>3.3000000000000002E-2</v>
      </c>
      <c r="K23" s="18">
        <v>0.154</v>
      </c>
      <c r="L23" s="16">
        <v>0.19800000000000001</v>
      </c>
      <c r="M23" s="15">
        <v>124.9</v>
      </c>
      <c r="N23" s="15">
        <v>88.9</v>
      </c>
      <c r="O23" s="15">
        <v>0.26300000000000001</v>
      </c>
      <c r="P23" s="15">
        <v>8</v>
      </c>
      <c r="Q23" s="15">
        <v>2.5</v>
      </c>
      <c r="R23" s="15">
        <v>10.5</v>
      </c>
      <c r="S23" s="15">
        <v>16</v>
      </c>
      <c r="T23" s="15">
        <v>5</v>
      </c>
      <c r="U23" s="15">
        <v>0.2</v>
      </c>
      <c r="V23" s="15">
        <v>1</v>
      </c>
      <c r="W23" s="15">
        <v>0.96</v>
      </c>
      <c r="X23" s="19">
        <f t="shared" si="1"/>
        <v>41.322700000000005</v>
      </c>
      <c r="Y23" s="19">
        <f t="shared" si="2"/>
        <v>0.14327600000000001</v>
      </c>
      <c r="Z23" s="19">
        <f t="shared" si="3"/>
        <v>10</v>
      </c>
      <c r="AA23" s="19">
        <f t="shared" si="4"/>
        <v>7.1339999999999986</v>
      </c>
      <c r="AB23" s="19">
        <f t="shared" si="5"/>
        <v>6.0436800000000002</v>
      </c>
      <c r="AC23" s="19">
        <f t="shared" si="13"/>
        <v>3.2105600000000001</v>
      </c>
      <c r="AD23" s="19">
        <f t="shared" si="6"/>
        <v>4.8643000000000001</v>
      </c>
      <c r="AE23" s="19">
        <f t="shared" si="7"/>
        <v>4.7979999999999995E-2</v>
      </c>
      <c r="AF23" s="19">
        <f t="shared" si="8"/>
        <v>5.2632999999999992</v>
      </c>
      <c r="AG23" s="19">
        <f t="shared" si="9"/>
        <v>5.1579799999999993</v>
      </c>
      <c r="AH23" s="19">
        <f t="shared" si="10"/>
        <v>4.5999999999999996</v>
      </c>
      <c r="AI23" s="19">
        <f t="shared" si="11"/>
        <v>57.428768000000005</v>
      </c>
      <c r="AJ23" s="19">
        <f t="shared" si="12"/>
        <v>55.13161728</v>
      </c>
      <c r="AK23" s="20">
        <f>AJ23*(P23/200)</f>
        <v>2.2052646912</v>
      </c>
    </row>
    <row r="24" spans="1:50" x14ac:dyDescent="0.25">
      <c r="A24" t="s">
        <v>83</v>
      </c>
      <c r="B24" s="15">
        <v>923</v>
      </c>
      <c r="C24" s="15">
        <v>92</v>
      </c>
      <c r="D24" s="16">
        <v>0.432</v>
      </c>
      <c r="E24" s="16">
        <v>0.38169999999999998</v>
      </c>
      <c r="F24" s="15">
        <v>0.49</v>
      </c>
      <c r="G24" s="15">
        <v>12.16</v>
      </c>
      <c r="H24" s="15">
        <v>12</v>
      </c>
      <c r="I24" s="17">
        <v>36</v>
      </c>
      <c r="J24" s="15">
        <v>20</v>
      </c>
      <c r="K24" s="15">
        <v>3</v>
      </c>
      <c r="L24" s="16">
        <v>0.375</v>
      </c>
      <c r="M24" s="16">
        <v>0.92310000000000003</v>
      </c>
      <c r="N24" s="16">
        <v>4.0000000000000001E-3</v>
      </c>
      <c r="O24" s="16">
        <v>3.7400000000000003E-2</v>
      </c>
      <c r="P24" s="15">
        <v>15</v>
      </c>
      <c r="Q24" s="15"/>
      <c r="R24" s="15"/>
      <c r="S24" s="15"/>
      <c r="T24" s="15">
        <v>3</v>
      </c>
      <c r="U24" s="15">
        <v>0.2</v>
      </c>
      <c r="V24" s="15">
        <v>0.98</v>
      </c>
      <c r="W24" s="15"/>
      <c r="X24" s="19">
        <f>IF(B24=0,0,100*(C24+2*H24+3*I24)/B24)</f>
        <v>24.268689057421451</v>
      </c>
      <c r="Y24" s="19">
        <f>IF(C24=0,0,(J24+K24)/C24)</f>
        <v>0.25</v>
      </c>
      <c r="Z24" s="19"/>
      <c r="AA24" s="19">
        <f>MAX(0,MIN(10,5+50*(D24-0.55)+25*(E24-F24)))</f>
        <v>0</v>
      </c>
      <c r="AB24" s="19">
        <f>MAX(0,MIN(10,0.2*G24+5*Y24))</f>
        <v>3.6820000000000004</v>
      </c>
      <c r="AC24" s="19">
        <f t="shared" ref="AC24" si="14">MAX(0,MIN(10,X24/4))</f>
        <v>6.0671722643553627</v>
      </c>
      <c r="AD24" s="19">
        <f>MAX(0,MIN(10,2+0.15*G24+4*Y24-0.03*((L24+M24)/2)))</f>
        <v>4.8045285</v>
      </c>
      <c r="AE24" s="19">
        <f>MAX(0,MIN(10,0.15*N24+0.08*O24))</f>
        <v>3.5920000000000001E-3</v>
      </c>
      <c r="AF24" s="19"/>
      <c r="AG24" s="19"/>
      <c r="AH24" s="19">
        <f>MAX(0,MIN(10,P24/3.2-2*U24))</f>
        <v>4.2874999999999996</v>
      </c>
      <c r="AI24" s="19">
        <f>10*(0.22*AA24+0.2*AB24+0.18*AC24+0.12*AD24+0.1*AE24+0.13*T24+0.05*AH24)</f>
        <v>30.097686275839656</v>
      </c>
      <c r="AJ24" s="19">
        <f>AI24*V24</f>
        <v>29.495732550322863</v>
      </c>
      <c r="AK24" s="20">
        <f>AJ24*(P24/200)</f>
        <v>2.2121799412742145</v>
      </c>
    </row>
    <row r="25" spans="1:50" x14ac:dyDescent="0.25">
      <c r="A25" t="s">
        <v>84</v>
      </c>
      <c r="B25" s="16">
        <v>0.51300000000000001</v>
      </c>
      <c r="C25" s="16">
        <v>0.5</v>
      </c>
      <c r="D25" s="16">
        <v>0.58799999999999997</v>
      </c>
      <c r="E25" s="16">
        <v>0.14499999999999999</v>
      </c>
      <c r="F25" s="16">
        <v>1.6E-2</v>
      </c>
      <c r="G25" s="16">
        <v>0.115</v>
      </c>
      <c r="H25" s="16">
        <v>0.28000000000000003</v>
      </c>
      <c r="I25" s="23">
        <v>2.8000000000000001E-2</v>
      </c>
      <c r="J25" s="16">
        <v>4.0000000000000001E-3</v>
      </c>
      <c r="K25" s="16">
        <v>0.14199999999999999</v>
      </c>
      <c r="L25" s="16">
        <v>0.19800000000000001</v>
      </c>
      <c r="M25" s="16">
        <v>104.5</v>
      </c>
      <c r="N25" s="16">
        <v>84.8</v>
      </c>
      <c r="O25" s="16">
        <v>0.15</v>
      </c>
      <c r="P25" s="15">
        <v>4.2</v>
      </c>
      <c r="Q25" s="15">
        <v>3.8</v>
      </c>
      <c r="R25" s="15">
        <v>8</v>
      </c>
      <c r="S25" s="15">
        <v>0</v>
      </c>
      <c r="T25" s="15">
        <v>5.5</v>
      </c>
      <c r="U25" s="15">
        <v>0.2</v>
      </c>
      <c r="V25" s="15">
        <v>0.95</v>
      </c>
      <c r="W25" s="15">
        <v>0.92</v>
      </c>
      <c r="X25" s="19">
        <f>MAX(0,MIN(100,0.45*M25+0.6*H25+0.35*L25-0.2*K25-15))</f>
        <v>32.233899999999998</v>
      </c>
      <c r="Y25" s="19">
        <f t="shared" si="2"/>
        <v>8.8475999999999999E-2</v>
      </c>
      <c r="Z25" s="19">
        <f t="shared" si="3"/>
        <v>9.8879999999999999</v>
      </c>
      <c r="AA25" s="19">
        <f t="shared" si="4"/>
        <v>3.13</v>
      </c>
      <c r="AB25" s="19">
        <f t="shared" si="5"/>
        <v>2.9216800000000007</v>
      </c>
      <c r="AC25" s="19">
        <f t="shared" si="13"/>
        <v>2.6745599999999996</v>
      </c>
      <c r="AD25" s="19">
        <f t="shared" si="6"/>
        <v>4.5893000000000006</v>
      </c>
      <c r="AE25" s="19">
        <f t="shared" si="7"/>
        <v>1.208E-2</v>
      </c>
      <c r="AF25" s="19">
        <f t="shared" si="8"/>
        <v>5.7647999999999993</v>
      </c>
      <c r="AG25" s="19">
        <f t="shared" si="9"/>
        <v>5.6588799999999999</v>
      </c>
      <c r="AH25" s="19">
        <f t="shared" si="10"/>
        <v>0</v>
      </c>
      <c r="AI25" s="19">
        <f t="shared" si="11"/>
        <v>41.504148000000001</v>
      </c>
      <c r="AJ25" s="19">
        <f t="shared" si="12"/>
        <v>36.274625352000001</v>
      </c>
      <c r="AK25" s="20">
        <f>AJ25*(P25/200)</f>
        <v>0.76176713239200011</v>
      </c>
      <c r="AO25" s="21"/>
    </row>
    <row r="26" spans="1:50" x14ac:dyDescent="0.25">
      <c r="A26" t="s">
        <v>85</v>
      </c>
      <c r="B26" s="15">
        <v>57</v>
      </c>
      <c r="C26" s="15">
        <v>9</v>
      </c>
      <c r="D26" s="16">
        <v>0.5</v>
      </c>
      <c r="E26" s="16">
        <v>0.4375</v>
      </c>
      <c r="F26" s="15">
        <v>0.44</v>
      </c>
      <c r="G26" s="15">
        <v>14.06</v>
      </c>
      <c r="H26" s="15">
        <v>4</v>
      </c>
      <c r="I26" s="17">
        <v>3</v>
      </c>
      <c r="J26" s="15">
        <v>0</v>
      </c>
      <c r="K26" s="15">
        <v>0</v>
      </c>
      <c r="L26" s="16">
        <v>1</v>
      </c>
      <c r="M26" s="16">
        <v>1</v>
      </c>
      <c r="N26" s="16">
        <v>0.04</v>
      </c>
      <c r="O26" s="16">
        <v>3.4500000000000003E-2</v>
      </c>
      <c r="P26" s="15">
        <v>5</v>
      </c>
      <c r="Q26" s="15"/>
      <c r="R26" s="15"/>
      <c r="S26" s="15"/>
      <c r="T26" s="15">
        <v>3</v>
      </c>
      <c r="U26" s="15">
        <v>0.2</v>
      </c>
      <c r="V26" s="15">
        <v>0.98</v>
      </c>
      <c r="W26" s="15"/>
      <c r="X26" s="19">
        <f>IF(B26=0,0,100*(C26+2*H26+3*I26)/B26)</f>
        <v>45.614035087719301</v>
      </c>
      <c r="Y26" s="19">
        <f>IF(C26=0,0,(J26+K26)/C26)</f>
        <v>0</v>
      </c>
      <c r="Z26" s="19"/>
      <c r="AA26" s="19">
        <f>MAX(0,MIN(10,5+50*(D26-0.55)+25*(E26-F26)))</f>
        <v>2.4374999999999978</v>
      </c>
      <c r="AB26" s="19">
        <f>MAX(0,MIN(10,0.2*G26+5*Y26))</f>
        <v>2.8120000000000003</v>
      </c>
      <c r="AC26" s="19">
        <f t="shared" ref="AC26" si="15">MAX(0,MIN(10,X26/4))</f>
        <v>10</v>
      </c>
      <c r="AD26" s="19">
        <f>MAX(0,MIN(10,2+0.15*G26+4*Y26-0.03*((L26+M26)/2)))</f>
        <v>4.0789999999999997</v>
      </c>
      <c r="AE26" s="19">
        <f>MAX(0,MIN(10,0.15*N26+0.08*O26))</f>
        <v>8.7600000000000004E-3</v>
      </c>
      <c r="AF26" s="19"/>
      <c r="AG26" s="19"/>
      <c r="AH26" s="19">
        <f>MAX(0,MIN(10,P26/3.2-2*U26))</f>
        <v>1.1625000000000001</v>
      </c>
      <c r="AI26" s="19">
        <f>10*(0.22*AA26+0.2*AB26+0.18*AC26+0.12*AD26+0.1*AE26+0.13*T26+0.05*AH26)</f>
        <v>38.371309999999994</v>
      </c>
      <c r="AJ26" s="19">
        <f>AI26*V26</f>
        <v>37.603883799999991</v>
      </c>
      <c r="AK26" s="20">
        <f>AJ26*(P26/200)</f>
        <v>0.94009709499999983</v>
      </c>
      <c r="AO26" s="21"/>
    </row>
    <row r="27" spans="1:50" s="6" customFormat="1" x14ac:dyDescent="0.25">
      <c r="A27" s="5" t="s">
        <v>86</v>
      </c>
      <c r="I27" s="7"/>
      <c r="AK27" s="24">
        <f>SUM(AK8:AK26)</f>
        <v>81.364742335072449</v>
      </c>
      <c r="AL27" s="3"/>
      <c r="AM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s="4" customFormat="1" x14ac:dyDescent="0.25">
      <c r="A28" s="8"/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9" t="s">
        <v>10</v>
      </c>
      <c r="J28" s="4" t="s">
        <v>11</v>
      </c>
      <c r="K28" s="4" t="s">
        <v>12</v>
      </c>
      <c r="L28" s="4" t="s">
        <v>13</v>
      </c>
      <c r="M28" s="4" t="s">
        <v>14</v>
      </c>
      <c r="N28" s="4" t="s">
        <v>15</v>
      </c>
      <c r="O28" s="4" t="s">
        <v>16</v>
      </c>
      <c r="P28" s="4" t="s">
        <v>17</v>
      </c>
      <c r="Q28" s="4" t="s">
        <v>18</v>
      </c>
      <c r="R28" s="4" t="s">
        <v>19</v>
      </c>
      <c r="S28" s="4" t="s">
        <v>20</v>
      </c>
    </row>
    <row r="29" spans="1:50" x14ac:dyDescent="0.25">
      <c r="A29" s="25" t="s">
        <v>87</v>
      </c>
      <c r="B29" s="11" t="s">
        <v>22</v>
      </c>
      <c r="C29" s="11" t="s">
        <v>23</v>
      </c>
      <c r="D29" s="11" t="s">
        <v>3</v>
      </c>
      <c r="E29" s="11" t="s">
        <v>4</v>
      </c>
      <c r="F29" s="11" t="s">
        <v>24</v>
      </c>
      <c r="G29" s="11" t="s">
        <v>25</v>
      </c>
      <c r="H29" s="11" t="s">
        <v>26</v>
      </c>
      <c r="I29" s="12" t="s">
        <v>27</v>
      </c>
      <c r="J29" s="11" t="s">
        <v>28</v>
      </c>
      <c r="K29" s="11" t="s">
        <v>29</v>
      </c>
      <c r="L29" s="11" t="s">
        <v>30</v>
      </c>
      <c r="M29" s="11" t="s">
        <v>31</v>
      </c>
      <c r="N29" s="11" t="s">
        <v>32</v>
      </c>
      <c r="O29" s="11" t="s">
        <v>33</v>
      </c>
      <c r="P29" s="11" t="s">
        <v>20</v>
      </c>
      <c r="Q29" s="11"/>
      <c r="R29" s="11"/>
      <c r="S29" s="11"/>
      <c r="T29" s="11" t="s">
        <v>34</v>
      </c>
      <c r="U29" s="11" t="s">
        <v>35</v>
      </c>
      <c r="V29" s="11" t="s">
        <v>36</v>
      </c>
      <c r="W29" s="11" t="s">
        <v>37</v>
      </c>
      <c r="X29" s="11" t="s">
        <v>38</v>
      </c>
      <c r="Y29" s="11" t="s">
        <v>39</v>
      </c>
      <c r="Z29" s="11" t="s">
        <v>40</v>
      </c>
      <c r="AA29" s="11" t="s">
        <v>41</v>
      </c>
      <c r="AB29" s="11" t="s">
        <v>42</v>
      </c>
      <c r="AC29" s="11" t="s">
        <v>43</v>
      </c>
      <c r="AD29" s="11" t="s">
        <v>44</v>
      </c>
      <c r="AE29" s="11" t="s">
        <v>45</v>
      </c>
      <c r="AF29" s="11" t="s">
        <v>46</v>
      </c>
      <c r="AG29" s="11" t="s">
        <v>47</v>
      </c>
      <c r="AH29" s="11" t="s">
        <v>48</v>
      </c>
      <c r="AI29" s="11" t="s">
        <v>49</v>
      </c>
      <c r="AJ29" s="11" t="s">
        <v>50</v>
      </c>
      <c r="AK29" s="13" t="s">
        <v>51</v>
      </c>
    </row>
    <row r="30" spans="1:50" x14ac:dyDescent="0.25">
      <c r="A30" t="s">
        <v>88</v>
      </c>
      <c r="B30" s="15">
        <v>1728</v>
      </c>
      <c r="C30" s="15">
        <v>364</v>
      </c>
      <c r="D30" s="16">
        <v>0.49859999999999999</v>
      </c>
      <c r="E30" s="16">
        <v>0.48010000000000003</v>
      </c>
      <c r="F30" s="15">
        <v>0.5</v>
      </c>
      <c r="G30" s="15">
        <v>20.91</v>
      </c>
      <c r="H30" s="15">
        <v>240</v>
      </c>
      <c r="I30" s="17">
        <v>0</v>
      </c>
      <c r="J30" s="15">
        <v>74</v>
      </c>
      <c r="K30" s="15">
        <v>0</v>
      </c>
      <c r="L30" s="16">
        <v>0.76429999999999998</v>
      </c>
      <c r="M30" s="18">
        <v>0</v>
      </c>
      <c r="N30" s="16">
        <v>9.2799999999999994E-2</v>
      </c>
      <c r="O30" s="16">
        <v>0.1542</v>
      </c>
      <c r="P30" s="15">
        <v>22</v>
      </c>
      <c r="Q30" s="15"/>
      <c r="R30" s="15"/>
      <c r="S30" s="15"/>
      <c r="T30" s="15">
        <v>5.5</v>
      </c>
      <c r="U30" s="15">
        <v>0.2</v>
      </c>
      <c r="V30" s="15">
        <v>1</v>
      </c>
      <c r="W30" s="15"/>
      <c r="X30" s="19">
        <f>IF(B30=0,0,100*(C30+2*H30+3*I30)/B30)</f>
        <v>48.842592592592595</v>
      </c>
      <c r="Y30" s="19">
        <f>IF(C30=0,0,(J30+K30)/C30)</f>
        <v>0.2032967032967033</v>
      </c>
      <c r="Z30" s="19"/>
      <c r="AA30" s="19">
        <f>MAX(0,MIN(10,5+50*(D30-0.55)+25*(E30-F30)))</f>
        <v>1.9324999999999977</v>
      </c>
      <c r="AB30" s="19">
        <f>MAX(0,MIN(10,0.2*G30+5*Y30))</f>
        <v>5.1984835164835168</v>
      </c>
      <c r="AC30" s="19">
        <f t="shared" ref="AC30:AC48" si="16">MAX(0,MIN(10,X30/4))</f>
        <v>10</v>
      </c>
      <c r="AD30" s="19">
        <f>MAX(0,MIN(10,2+0.15*G30+4*Y30-0.03*((L30+M30)/2)))</f>
        <v>5.938222313186813</v>
      </c>
      <c r="AE30" s="19">
        <f>MAX(0,MIN(10,0.15*N30+0.08*O30))</f>
        <v>2.6255999999999998E-2</v>
      </c>
      <c r="AF30" s="19"/>
      <c r="AG30" s="19"/>
      <c r="AH30" s="19">
        <f>MAX(0,MIN(10,P30/3.2-2*U30))</f>
        <v>6.4749999999999996</v>
      </c>
      <c r="AI30" s="19">
        <f>10*(0.22*AA30+0.2*AB30+0.18*AC30+0.12*AD30+0.1*AE30+0.13*T30+0.05*AH30)</f>
        <v>50.188089808791204</v>
      </c>
      <c r="AJ30" s="19">
        <f>AI30*V30</f>
        <v>50.188089808791204</v>
      </c>
      <c r="AK30" s="20">
        <f>AJ30*(P30/200)</f>
        <v>5.5206898789670324</v>
      </c>
    </row>
    <row r="31" spans="1:50" x14ac:dyDescent="0.25">
      <c r="A31" t="s">
        <v>89</v>
      </c>
      <c r="B31" s="15">
        <v>2637</v>
      </c>
      <c r="C31" s="15">
        <v>667</v>
      </c>
      <c r="D31" s="16">
        <v>0.5323</v>
      </c>
      <c r="E31" s="16">
        <v>0.48049999999999998</v>
      </c>
      <c r="F31" s="15">
        <v>0.48</v>
      </c>
      <c r="G31" s="15">
        <v>24.02</v>
      </c>
      <c r="H31" s="15">
        <v>150</v>
      </c>
      <c r="I31" s="17">
        <v>153</v>
      </c>
      <c r="J31" s="15">
        <v>182</v>
      </c>
      <c r="K31" s="15">
        <v>33</v>
      </c>
      <c r="L31" s="16">
        <v>0.45179999999999998</v>
      </c>
      <c r="M31" s="18">
        <v>0.8226</v>
      </c>
      <c r="N31" s="16">
        <v>2.1899999999999999E-2</v>
      </c>
      <c r="O31" s="16">
        <v>6.7199999999999996E-2</v>
      </c>
      <c r="P31" s="15">
        <v>33</v>
      </c>
      <c r="Q31" s="15"/>
      <c r="R31" s="15"/>
      <c r="S31" s="15"/>
      <c r="T31" s="15">
        <v>5</v>
      </c>
      <c r="U31" s="15">
        <v>0.2</v>
      </c>
      <c r="V31" s="15">
        <v>1.04</v>
      </c>
      <c r="W31" s="15"/>
      <c r="X31" s="19">
        <f>IF(B31=0,0,100*(C31+2*H31+3*I31)/B31)</f>
        <v>54.076602199469093</v>
      </c>
      <c r="Y31" s="19">
        <f>IF(C31=0,0,(J31+K31)/C31)</f>
        <v>0.32233883058470764</v>
      </c>
      <c r="Z31" s="19"/>
      <c r="AA31" s="19">
        <f>MAX(0,MIN(10,5+50*(D31-0.55)+25*(E31-F31)))</f>
        <v>4.1274999999999977</v>
      </c>
      <c r="AB31" s="19">
        <f>MAX(0,MIN(10,0.2*G31+5*Y31))</f>
        <v>6.415694152923539</v>
      </c>
      <c r="AC31" s="19">
        <f t="shared" si="16"/>
        <v>10</v>
      </c>
      <c r="AD31" s="19">
        <f>MAX(0,MIN(10,2+0.15*G31+4*Y31-0.03*((L31+M31)/2)))</f>
        <v>6.8732393223388302</v>
      </c>
      <c r="AE31" s="19">
        <f>MAX(0,MIN(10,0.15*N31+0.08*O31))</f>
        <v>8.6609999999999986E-3</v>
      </c>
      <c r="AF31" s="19"/>
      <c r="AG31" s="19"/>
      <c r="AH31" s="19">
        <f>MAX(0,MIN(10,P31/3.2-2*U31))</f>
        <v>9.9124999999999996</v>
      </c>
      <c r="AI31" s="19">
        <f>10*(0.22*AA31+0.2*AB31+0.18*AC31+0.12*AD31+0.1*AE31+0.13*T31+0.05*AH31)</f>
        <v>59.624686492653666</v>
      </c>
      <c r="AJ31" s="19">
        <f>AI31*V31</f>
        <v>62.009673952359812</v>
      </c>
      <c r="AK31" s="20">
        <f>AJ31*(P31/200)</f>
        <v>10.23159620213937</v>
      </c>
    </row>
    <row r="32" spans="1:50" x14ac:dyDescent="0.25">
      <c r="A32" t="s">
        <v>90</v>
      </c>
      <c r="B32" s="15">
        <v>1374</v>
      </c>
      <c r="C32" s="15">
        <v>224</v>
      </c>
      <c r="D32" s="16">
        <v>0.59570000000000001</v>
      </c>
      <c r="E32" s="16">
        <v>0.56740000000000002</v>
      </c>
      <c r="F32" s="15">
        <v>0.51</v>
      </c>
      <c r="G32" s="15">
        <v>14.1</v>
      </c>
      <c r="H32" s="15">
        <v>54</v>
      </c>
      <c r="I32" s="17">
        <v>99</v>
      </c>
      <c r="J32" s="15">
        <v>40</v>
      </c>
      <c r="K32" s="15">
        <v>9</v>
      </c>
      <c r="L32" s="16">
        <v>0.57450000000000001</v>
      </c>
      <c r="M32" s="18">
        <v>0.91669999999999996</v>
      </c>
      <c r="N32" s="16">
        <v>3.2800000000000003E-2</v>
      </c>
      <c r="O32" s="16">
        <v>5.5300000000000002E-2</v>
      </c>
      <c r="P32" s="15">
        <v>25</v>
      </c>
      <c r="Q32" s="15"/>
      <c r="R32" s="15"/>
      <c r="S32" s="15"/>
      <c r="T32" s="15">
        <v>4</v>
      </c>
      <c r="U32" s="15">
        <v>0.2</v>
      </c>
      <c r="V32" s="15">
        <v>1</v>
      </c>
      <c r="W32" s="15"/>
      <c r="X32" s="19">
        <f>IF(B32=0,0,100*(C32+2*H32+3*I32)/B32)</f>
        <v>45.778748180494908</v>
      </c>
      <c r="Y32" s="19">
        <f>IF(C32=0,0,(J32+K32)/C32)</f>
        <v>0.21875</v>
      </c>
      <c r="Z32" s="19"/>
      <c r="AA32" s="19">
        <f>MAX(0,MIN(10,5+50*(D32-0.55)+25*(E32-F32)))</f>
        <v>8.7199999999999989</v>
      </c>
      <c r="AB32" s="19">
        <f>MAX(0,MIN(10,0.2*G32+5*Y32))</f>
        <v>3.9137500000000003</v>
      </c>
      <c r="AC32" s="19">
        <f t="shared" si="16"/>
        <v>10</v>
      </c>
      <c r="AD32" s="19">
        <f>MAX(0,MIN(10,2+0.15*G32+4*Y32-0.03*((L32+M32)/2)))</f>
        <v>4.967632</v>
      </c>
      <c r="AE32" s="19">
        <f>MAX(0,MIN(10,0.15*N32+0.08*O32))</f>
        <v>9.3439999999999999E-3</v>
      </c>
      <c r="AF32" s="19"/>
      <c r="AG32" s="19"/>
      <c r="AH32" s="19">
        <f>MAX(0,MIN(10,P32/3.2-2*U32))</f>
        <v>7.4124999999999996</v>
      </c>
      <c r="AI32" s="19">
        <f>10*(0.22*AA32+0.2*AB32+0.18*AC32+0.12*AD32+0.1*AE32+0.13*T32+0.05*AH32)</f>
        <v>59.888252399999985</v>
      </c>
      <c r="AJ32" s="19">
        <f>AI32*V32</f>
        <v>59.888252399999985</v>
      </c>
      <c r="AK32" s="20">
        <f>AJ32*(P32/200)</f>
        <v>7.4860315499999981</v>
      </c>
    </row>
    <row r="33" spans="1:50" x14ac:dyDescent="0.25">
      <c r="A33" t="s">
        <v>91</v>
      </c>
      <c r="B33" s="15">
        <v>2458</v>
      </c>
      <c r="C33" s="15">
        <v>561</v>
      </c>
      <c r="D33" s="16">
        <v>0.59550000000000003</v>
      </c>
      <c r="E33" s="16">
        <v>0.56440000000000001</v>
      </c>
      <c r="F33" s="15">
        <v>0.54</v>
      </c>
      <c r="G33" s="15">
        <v>19.25</v>
      </c>
      <c r="H33" s="15">
        <v>174</v>
      </c>
      <c r="I33" s="17">
        <v>219</v>
      </c>
      <c r="J33" s="15">
        <v>86</v>
      </c>
      <c r="K33" s="15">
        <v>3</v>
      </c>
      <c r="L33" s="16">
        <v>0.66920000000000002</v>
      </c>
      <c r="M33" s="18">
        <v>0.98650000000000004</v>
      </c>
      <c r="N33" s="16">
        <v>6.6199999999999995E-2</v>
      </c>
      <c r="O33" s="16">
        <v>0.22639999999999999</v>
      </c>
      <c r="P33" s="15">
        <v>30</v>
      </c>
      <c r="Q33" s="15"/>
      <c r="R33" s="15"/>
      <c r="S33" s="15"/>
      <c r="T33" s="15">
        <v>9</v>
      </c>
      <c r="U33" s="15">
        <v>0.2</v>
      </c>
      <c r="V33" s="15">
        <v>1</v>
      </c>
      <c r="W33" s="15"/>
      <c r="X33" s="19">
        <f>IF(B33=0,0,100*(C33+2*H33+3*I33)/B33)</f>
        <v>63.710333604556553</v>
      </c>
      <c r="Y33" s="19">
        <f>IF(C33=0,0,(J33+K33)/C33)</f>
        <v>0.1586452762923351</v>
      </c>
      <c r="Z33" s="19"/>
      <c r="AA33" s="19">
        <f>MAX(0,MIN(10,5+50*(D33-0.55)+25*(E33-F33)))</f>
        <v>7.8849999999999989</v>
      </c>
      <c r="AB33" s="19">
        <f>MAX(0,MIN(10,0.2*G33+5*Y33))</f>
        <v>4.6432263814616759</v>
      </c>
      <c r="AC33" s="19">
        <f t="shared" si="16"/>
        <v>10</v>
      </c>
      <c r="AD33" s="19">
        <f>MAX(0,MIN(10,2+0.15*G33+4*Y33-0.03*((L33+M33)/2)))</f>
        <v>5.4972456051693399</v>
      </c>
      <c r="AE33" s="19">
        <f>MAX(0,MIN(10,0.15*N33+0.08*O33))</f>
        <v>2.8041999999999997E-2</v>
      </c>
      <c r="AF33" s="19"/>
      <c r="AG33" s="19"/>
      <c r="AH33" s="19">
        <f>MAX(0,MIN(10,P33/3.2-2*U33))</f>
        <v>8.9749999999999996</v>
      </c>
      <c r="AI33" s="19">
        <f>10*(0.22*AA33+0.2*AB33+0.18*AC33+0.12*AD33+0.1*AE33+0.13*T33+0.05*AH33)</f>
        <v>67.445689489126565</v>
      </c>
      <c r="AJ33" s="19">
        <f>AI33*V33</f>
        <v>67.445689489126565</v>
      </c>
      <c r="AK33" s="20">
        <f>AJ33*(P33/200)</f>
        <v>10.116853423368985</v>
      </c>
    </row>
    <row r="34" spans="1:50" x14ac:dyDescent="0.25">
      <c r="A34" t="s">
        <v>92</v>
      </c>
      <c r="B34" s="15">
        <v>2076</v>
      </c>
      <c r="C34" s="15">
        <v>396</v>
      </c>
      <c r="D34" s="16">
        <v>0.53190000000000004</v>
      </c>
      <c r="E34" s="16">
        <v>0.50890000000000002</v>
      </c>
      <c r="F34" s="15">
        <v>0.48</v>
      </c>
      <c r="G34" s="15">
        <v>17.86</v>
      </c>
      <c r="H34" s="15">
        <v>44</v>
      </c>
      <c r="I34" s="17">
        <v>198</v>
      </c>
      <c r="J34" s="15">
        <v>42</v>
      </c>
      <c r="K34" s="15">
        <v>60</v>
      </c>
      <c r="L34" s="16">
        <v>0.51160000000000005</v>
      </c>
      <c r="M34" s="18">
        <v>0.76739999999999997</v>
      </c>
      <c r="N34" s="16">
        <v>6.0000000000000001E-3</v>
      </c>
      <c r="O34" s="16">
        <v>6.7000000000000004E-2</v>
      </c>
      <c r="P34" s="15">
        <v>25</v>
      </c>
      <c r="Q34" s="15"/>
      <c r="R34" s="15"/>
      <c r="S34" s="15"/>
      <c r="T34" s="15">
        <v>4</v>
      </c>
      <c r="U34" s="15">
        <v>0.2</v>
      </c>
      <c r="V34" s="15">
        <v>1</v>
      </c>
      <c r="W34" s="15"/>
      <c r="X34" s="19">
        <f>IF(B34=0,0,100*(C34+2*H34+3*I34)/B34)</f>
        <v>51.926782273603081</v>
      </c>
      <c r="Y34" s="19">
        <f>IF(C34=0,0,(J34+K34)/C34)</f>
        <v>0.25757575757575757</v>
      </c>
      <c r="Z34" s="19"/>
      <c r="AA34" s="19">
        <f>MAX(0,MIN(10,5+50*(D34-0.55)+25*(E34-F34)))</f>
        <v>4.8175000000000008</v>
      </c>
      <c r="AB34" s="19">
        <f>MAX(0,MIN(10,0.2*G34+5*Y34))</f>
        <v>4.8598787878787881</v>
      </c>
      <c r="AC34" s="19">
        <f t="shared" si="16"/>
        <v>10</v>
      </c>
      <c r="AD34" s="19">
        <f>MAX(0,MIN(10,2+0.15*G34+4*Y34-0.03*((L34+M34)/2)))</f>
        <v>5.6901180303030303</v>
      </c>
      <c r="AE34" s="19">
        <f>MAX(0,MIN(10,0.15*N34+0.08*O34))</f>
        <v>6.2599999999999999E-3</v>
      </c>
      <c r="AF34" s="19"/>
      <c r="AG34" s="19"/>
      <c r="AH34" s="19">
        <f>MAX(0,MIN(10,P34/3.2-2*U34))</f>
        <v>7.4124999999999996</v>
      </c>
      <c r="AI34" s="19">
        <f>10*(0.22*AA34+0.2*AB34+0.18*AC34+0.12*AD34+0.1*AE34+0.13*T34+0.05*AH34)</f>
        <v>54.058909212121208</v>
      </c>
      <c r="AJ34" s="19">
        <f>AI34*V34</f>
        <v>54.058909212121208</v>
      </c>
      <c r="AK34" s="20">
        <f>AJ34*(P34/200)</f>
        <v>6.7573636515151509</v>
      </c>
    </row>
    <row r="35" spans="1:50" x14ac:dyDescent="0.25">
      <c r="A35" t="s">
        <v>93</v>
      </c>
      <c r="B35" s="15">
        <v>681</v>
      </c>
      <c r="C35" s="15">
        <v>102</v>
      </c>
      <c r="D35" s="16">
        <v>0.41460000000000002</v>
      </c>
      <c r="E35" s="16">
        <v>0.3624</v>
      </c>
      <c r="F35" s="15">
        <v>0.46</v>
      </c>
      <c r="G35" s="15">
        <v>20.05</v>
      </c>
      <c r="H35" s="15">
        <v>28</v>
      </c>
      <c r="I35" s="17">
        <v>15</v>
      </c>
      <c r="J35" s="15">
        <v>36</v>
      </c>
      <c r="K35" s="15">
        <v>0</v>
      </c>
      <c r="L35" s="16">
        <v>0.4375</v>
      </c>
      <c r="M35" s="18">
        <v>1</v>
      </c>
      <c r="N35" s="16">
        <v>1.2500000000000001E-2</v>
      </c>
      <c r="O35" s="16">
        <v>8.3299999999999999E-2</v>
      </c>
      <c r="P35" s="15">
        <v>17</v>
      </c>
      <c r="Q35" s="15"/>
      <c r="R35" s="15"/>
      <c r="S35" s="15"/>
      <c r="T35" s="15">
        <v>5</v>
      </c>
      <c r="U35" s="15">
        <v>0.9</v>
      </c>
      <c r="V35" s="15">
        <v>1</v>
      </c>
      <c r="W35" s="15"/>
      <c r="X35" s="19">
        <f>IF(B35=0,0,100*(C35+2*H35+3*I35)/B35)</f>
        <v>29.809104258443465</v>
      </c>
      <c r="Y35" s="19">
        <f>IF(C35=0,0,(J35+K35)/C35)</f>
        <v>0.35294117647058826</v>
      </c>
      <c r="Z35" s="19"/>
      <c r="AA35" s="19">
        <f>MAX(0,MIN(10,5+50*(D35-0.55)+25*(E35-F35)))</f>
        <v>0</v>
      </c>
      <c r="AB35" s="19">
        <f>MAX(0,MIN(10,0.2*G35+5*Y35))</f>
        <v>5.7747058823529418</v>
      </c>
      <c r="AC35" s="19">
        <f t="shared" si="16"/>
        <v>7.4522760646108663</v>
      </c>
      <c r="AD35" s="19">
        <f>MAX(0,MIN(10,2+0.15*G35+4*Y35-0.03*((L35+M35)/2)))</f>
        <v>6.3977022058823536</v>
      </c>
      <c r="AE35" s="19">
        <f>MAX(0,MIN(10,0.15*N35+0.08*O35))</f>
        <v>8.5389999999999997E-3</v>
      </c>
      <c r="AF35" s="19"/>
      <c r="AG35" s="19"/>
      <c r="AH35" s="19">
        <f>MAX(0,MIN(10,P35/3.2-2*U35))</f>
        <v>3.5125000000000002</v>
      </c>
      <c r="AI35" s="19">
        <f>10*(0.22*AA35+0.2*AB35+0.18*AC35+0.12*AD35+0.1*AE35+0.13*T35+0.05*AH35)</f>
        <v>40.905540328064262</v>
      </c>
      <c r="AJ35" s="19">
        <f>AI35*V35</f>
        <v>40.905540328064262</v>
      </c>
      <c r="AK35" s="20">
        <f>AJ35*(P35/200)</f>
        <v>3.4769709278854624</v>
      </c>
    </row>
    <row r="36" spans="1:50" x14ac:dyDescent="0.25">
      <c r="A36" t="s">
        <v>94</v>
      </c>
      <c r="B36" s="15">
        <v>0.58699999999999997</v>
      </c>
      <c r="C36" s="15">
        <v>0.56899999999999995</v>
      </c>
      <c r="D36" s="15">
        <v>0.29499999999999998</v>
      </c>
      <c r="E36" s="15">
        <v>0.13100000000000001</v>
      </c>
      <c r="F36" s="16">
        <v>5.3999999999999999E-2</v>
      </c>
      <c r="G36" s="16">
        <v>0.19700000000000001</v>
      </c>
      <c r="H36" s="16">
        <v>0.126</v>
      </c>
      <c r="I36" s="23">
        <v>1.2E-2</v>
      </c>
      <c r="J36" s="16">
        <v>2.7E-2</v>
      </c>
      <c r="K36" s="18">
        <v>0.13</v>
      </c>
      <c r="L36" s="16">
        <v>0.28499999999999998</v>
      </c>
      <c r="M36" s="15">
        <v>109.6</v>
      </c>
      <c r="N36" s="15">
        <v>97.2</v>
      </c>
      <c r="O36" s="15">
        <v>0.19</v>
      </c>
      <c r="P36" s="15">
        <v>8.1</v>
      </c>
      <c r="Q36" s="15">
        <v>0.2</v>
      </c>
      <c r="R36" s="15">
        <v>8.1999999999999993</v>
      </c>
      <c r="S36" s="15">
        <v>10</v>
      </c>
      <c r="T36" s="15">
        <v>4</v>
      </c>
      <c r="U36" s="15">
        <v>0.2</v>
      </c>
      <c r="V36" s="15">
        <v>1</v>
      </c>
      <c r="W36" s="15">
        <v>0.93</v>
      </c>
      <c r="X36" s="19">
        <f>MAX(0,MIN(100,0.45*M36+0.6*H36+0.35*L36-0.2*K36-15))</f>
        <v>34.469349999999999</v>
      </c>
      <c r="Y36" s="19">
        <f>MAX(0,MIN(1,0.012*L36+0.025*P36+0.3*E36+0.2*D36-0.18))</f>
        <v>0.12422000000000005</v>
      </c>
      <c r="Z36" s="19">
        <f>MAX(0,MIN(10,1+0.45*R36+30*O36+0.04*(M36-N36)))</f>
        <v>10</v>
      </c>
      <c r="AA36" s="19">
        <f>MAX(0,MIN(10,3+20*(B36-0.52)+15*(C36-0.5)+0.06*(M36-100)))</f>
        <v>5.9509999999999978</v>
      </c>
      <c r="AB36" s="19">
        <f>MAX(0,MIN(10,0.16*L36+0.55*P36+4*E36))</f>
        <v>5.0246000000000004</v>
      </c>
      <c r="AC36" s="19">
        <f>MAX(0,MIN(10,2+0.22*H36-0.12*K36+0.15*P36))</f>
        <v>3.2271199999999998</v>
      </c>
      <c r="AD36" s="19">
        <f>MAX(0,MIN(10,2+0.28*P36+0.1*L36+2*D36+1.5*E36))</f>
        <v>5.0830000000000011</v>
      </c>
      <c r="AE36" s="19">
        <f>MAX(0,MIN(10,0.18*F36+0.08*G36))</f>
        <v>2.5479999999999999E-2</v>
      </c>
      <c r="AF36" s="19">
        <f>MAX(0,MIN(10,4+0.3*Q36+0.6*I36+0.5*J36+0.03*(105-N36)))</f>
        <v>4.3146999999999993</v>
      </c>
      <c r="AG36" s="19">
        <f>0.6*AF36+0.4*T36</f>
        <v>4.1888199999999998</v>
      </c>
      <c r="AH36" s="19">
        <f>MAX(0,MIN(10,S36/3.2-2*U36))</f>
        <v>2.7250000000000001</v>
      </c>
      <c r="AI36" s="19">
        <f>10*(0.18*Z36+0.17*AA36+0.15*AB36+0.14*AC36+0.1*AD36+0.08*AE36+0.1*AG36+0.08*AH36)</f>
        <v>51.643771999999998</v>
      </c>
      <c r="AJ36" s="19">
        <f>AI36*V36*W36</f>
        <v>48.028707959999998</v>
      </c>
      <c r="AK36" s="20">
        <f>AJ36*(P36/200)</f>
        <v>1.94516267238</v>
      </c>
      <c r="AO36" s="21"/>
    </row>
    <row r="37" spans="1:50" x14ac:dyDescent="0.25">
      <c r="A37" t="s">
        <v>95</v>
      </c>
      <c r="B37" s="15">
        <v>0.48499999999999999</v>
      </c>
      <c r="C37" s="15">
        <v>0.45300000000000001</v>
      </c>
      <c r="D37" s="15">
        <v>0.53900000000000003</v>
      </c>
      <c r="E37" s="15">
        <v>0.219</v>
      </c>
      <c r="F37" s="16">
        <v>3.2000000000000001E-2</v>
      </c>
      <c r="G37" s="16">
        <v>9.6000000000000002E-2</v>
      </c>
      <c r="H37" s="16">
        <v>0.16400000000000001</v>
      </c>
      <c r="I37" s="23">
        <v>1.9E-2</v>
      </c>
      <c r="J37" s="16">
        <v>2E-3</v>
      </c>
      <c r="K37" s="18">
        <v>0.156</v>
      </c>
      <c r="L37" s="16">
        <v>0.246</v>
      </c>
      <c r="M37" s="15">
        <v>100.1</v>
      </c>
      <c r="N37" s="15">
        <v>92.8</v>
      </c>
      <c r="O37" s="15">
        <v>0.14299999999999999</v>
      </c>
      <c r="P37" s="15">
        <v>3.8</v>
      </c>
      <c r="Q37" s="15">
        <v>2.2000000000000002</v>
      </c>
      <c r="R37" s="15">
        <v>5.9</v>
      </c>
      <c r="S37" s="15">
        <v>8</v>
      </c>
      <c r="T37" s="15">
        <v>5</v>
      </c>
      <c r="U37" s="15">
        <v>0.2</v>
      </c>
      <c r="V37" s="15">
        <v>1</v>
      </c>
      <c r="W37" s="15">
        <v>0.92</v>
      </c>
      <c r="X37" s="19">
        <f t="shared" ref="X37:X42" si="17">MAX(0,MIN(100,0.45*M37+0.6*H37+0.35*L37-0.2*K37-15))</f>
        <v>30.198300000000003</v>
      </c>
      <c r="Y37" s="19">
        <f t="shared" ref="Y37:Y42" si="18">MAX(0,MIN(1,0.012*L37+0.025*P37+0.3*E37+0.2*D37-0.18))</f>
        <v>9.1452000000000033E-2</v>
      </c>
      <c r="Z37" s="19">
        <f t="shared" ref="Z37:Z42" si="19">MAX(0,MIN(10,1+0.45*R37+30*O37+0.04*(M37-N37)))</f>
        <v>8.2370000000000001</v>
      </c>
      <c r="AA37" s="19">
        <f t="shared" ref="AA37:AA42" si="20">MAX(0,MIN(10,3+20*(B37-0.52)+15*(C37-0.5)+0.06*(M37-100)))</f>
        <v>1.6009999999999991</v>
      </c>
      <c r="AB37" s="19">
        <f t="shared" ref="AB37:AB42" si="21">MAX(0,MIN(10,0.16*L37+0.55*P37+4*E37))</f>
        <v>3.0053599999999996</v>
      </c>
      <c r="AC37" s="19">
        <f t="shared" ref="AC37:AC42" si="22">MAX(0,MIN(10,2+0.22*H37-0.12*K37+0.15*P37))</f>
        <v>2.5873599999999999</v>
      </c>
      <c r="AD37" s="19">
        <f t="shared" ref="AD37:AD42" si="23">MAX(0,MIN(10,2+0.28*P37+0.1*L37+2*D37+1.5*E37))</f>
        <v>4.4950999999999999</v>
      </c>
      <c r="AE37" s="19">
        <f t="shared" ref="AE37:AE42" si="24">MAX(0,MIN(10,0.18*F37+0.08*G37))</f>
        <v>1.3440000000000001E-2</v>
      </c>
      <c r="AF37" s="19">
        <f t="shared" ref="AF37:AF42" si="25">MAX(0,MIN(10,4+0.3*Q37+0.6*I37+0.5*J37+0.03*(105-N37)))</f>
        <v>5.0384000000000002</v>
      </c>
      <c r="AG37" s="19">
        <f t="shared" ref="AG37:AG42" si="26">0.6*AF37+0.4*T37</f>
        <v>5.0230399999999999</v>
      </c>
      <c r="AH37" s="19">
        <f t="shared" ref="AH37:AH42" si="27">MAX(0,MIN(10,S37/3.2-2*U37))</f>
        <v>2.1</v>
      </c>
      <c r="AI37" s="19">
        <f t="shared" ref="AI37:AI42" si="28">10*(0.18*Z37+0.17*AA37+0.15*AB37+0.14*AC37+0.1*AD37+0.08*AE37+0.1*AG37+0.08*AH37)</f>
        <v>36.887535999999997</v>
      </c>
      <c r="AJ37" s="19">
        <f t="shared" ref="AJ37:AJ42" si="29">AI37*V37*W37</f>
        <v>33.93653312</v>
      </c>
      <c r="AK37" s="20">
        <f t="shared" ref="AK37:AK42" si="30">AJ37*(P37/200)</f>
        <v>0.64479412928000002</v>
      </c>
      <c r="AO37" s="21"/>
    </row>
    <row r="38" spans="1:50" x14ac:dyDescent="0.25">
      <c r="A38" t="s">
        <v>96</v>
      </c>
      <c r="B38" s="15">
        <v>0.53200000000000003</v>
      </c>
      <c r="C38" s="15">
        <v>0.497</v>
      </c>
      <c r="D38" s="15">
        <v>0.53200000000000003</v>
      </c>
      <c r="E38" s="15">
        <v>0.41099999999999998</v>
      </c>
      <c r="F38" s="16">
        <v>5.5E-2</v>
      </c>
      <c r="G38" s="16">
        <v>0.13300000000000001</v>
      </c>
      <c r="H38" s="16">
        <v>0.18099999999999999</v>
      </c>
      <c r="I38" s="23">
        <v>1.7000000000000001E-2</v>
      </c>
      <c r="J38" s="16">
        <v>3.5999999999999997E-2</v>
      </c>
      <c r="K38" s="18">
        <v>0.155</v>
      </c>
      <c r="L38" s="16">
        <v>0.24199999999999999</v>
      </c>
      <c r="M38" s="15">
        <v>99.6</v>
      </c>
      <c r="N38" s="15">
        <v>89.2</v>
      </c>
      <c r="O38" s="15">
        <v>0.16400000000000001</v>
      </c>
      <c r="P38" s="15">
        <v>5</v>
      </c>
      <c r="Q38" s="15">
        <v>3.6</v>
      </c>
      <c r="R38" s="15">
        <v>8.6</v>
      </c>
      <c r="S38" s="15">
        <v>5</v>
      </c>
      <c r="T38" s="15">
        <v>5</v>
      </c>
      <c r="U38" s="15">
        <v>0.2</v>
      </c>
      <c r="V38" s="15">
        <v>1</v>
      </c>
      <c r="W38" s="15">
        <v>0.9</v>
      </c>
      <c r="X38" s="19">
        <f t="shared" si="17"/>
        <v>29.982300000000002</v>
      </c>
      <c r="Y38" s="19">
        <f t="shared" si="18"/>
        <v>0.17760399999999998</v>
      </c>
      <c r="Z38" s="19">
        <f t="shared" si="19"/>
        <v>10</v>
      </c>
      <c r="AA38" s="19">
        <f t="shared" si="20"/>
        <v>3.1709999999999998</v>
      </c>
      <c r="AB38" s="19">
        <f t="shared" si="21"/>
        <v>4.4327199999999998</v>
      </c>
      <c r="AC38" s="19">
        <f t="shared" si="22"/>
        <v>2.77122</v>
      </c>
      <c r="AD38" s="19">
        <f t="shared" si="23"/>
        <v>5.1047000000000011</v>
      </c>
      <c r="AE38" s="19">
        <f t="shared" si="24"/>
        <v>2.0539999999999999E-2</v>
      </c>
      <c r="AF38" s="19">
        <f t="shared" si="25"/>
        <v>5.5822000000000003</v>
      </c>
      <c r="AG38" s="19">
        <f t="shared" si="26"/>
        <v>5.3493200000000005</v>
      </c>
      <c r="AH38" s="19">
        <f t="shared" si="27"/>
        <v>1.1625000000000001</v>
      </c>
      <c r="AI38" s="19">
        <f t="shared" si="28"/>
        <v>45.31994000000001</v>
      </c>
      <c r="AJ38" s="19">
        <f t="shared" si="29"/>
        <v>40.787946000000012</v>
      </c>
      <c r="AK38" s="20">
        <f t="shared" si="30"/>
        <v>1.0196986500000003</v>
      </c>
      <c r="AO38" s="21"/>
    </row>
    <row r="39" spans="1:50" x14ac:dyDescent="0.25">
      <c r="A39" t="s">
        <v>97</v>
      </c>
      <c r="B39" s="15">
        <v>0.54200000000000004</v>
      </c>
      <c r="C39" s="15">
        <v>0.495</v>
      </c>
      <c r="D39" s="15">
        <v>0.16200000000000001</v>
      </c>
      <c r="E39" s="15">
        <v>0.443</v>
      </c>
      <c r="F39" s="16">
        <v>1.9E-2</v>
      </c>
      <c r="G39" s="16">
        <v>7.6999999999999999E-2</v>
      </c>
      <c r="H39" s="16">
        <v>0.42099999999999999</v>
      </c>
      <c r="I39" s="23">
        <v>1.6E-2</v>
      </c>
      <c r="J39" s="16">
        <v>1.7999999999999999E-2</v>
      </c>
      <c r="K39" s="18">
        <v>0.22600000000000001</v>
      </c>
      <c r="L39" s="16">
        <v>0.22800000000000001</v>
      </c>
      <c r="M39" s="15">
        <v>109.6</v>
      </c>
      <c r="N39" s="15">
        <v>92.8</v>
      </c>
      <c r="O39" s="15">
        <v>0.20100000000000001</v>
      </c>
      <c r="P39" s="15">
        <v>6.6</v>
      </c>
      <c r="Q39" s="15">
        <v>3</v>
      </c>
      <c r="R39" s="15">
        <v>9.6</v>
      </c>
      <c r="S39" s="15">
        <v>8</v>
      </c>
      <c r="T39" s="15">
        <v>5</v>
      </c>
      <c r="U39" s="15">
        <v>0.2</v>
      </c>
      <c r="V39" s="15">
        <v>1</v>
      </c>
      <c r="W39" s="15">
        <v>0.95</v>
      </c>
      <c r="X39" s="19">
        <f t="shared" si="17"/>
        <v>34.607199999999999</v>
      </c>
      <c r="Y39" s="19">
        <f t="shared" si="18"/>
        <v>0.15303600000000001</v>
      </c>
      <c r="Z39" s="19">
        <f t="shared" si="19"/>
        <v>10</v>
      </c>
      <c r="AA39" s="19">
        <f t="shared" si="20"/>
        <v>3.9409999999999998</v>
      </c>
      <c r="AB39" s="19">
        <f t="shared" si="21"/>
        <v>5.4384800000000002</v>
      </c>
      <c r="AC39" s="19">
        <f t="shared" si="22"/>
        <v>3.0554999999999999</v>
      </c>
      <c r="AD39" s="19">
        <f t="shared" si="23"/>
        <v>4.8593000000000002</v>
      </c>
      <c r="AE39" s="19">
        <f t="shared" si="24"/>
        <v>9.58E-3</v>
      </c>
      <c r="AF39" s="19">
        <f t="shared" si="25"/>
        <v>5.2846000000000002</v>
      </c>
      <c r="AG39" s="19">
        <f t="shared" si="26"/>
        <v>5.1707599999999996</v>
      </c>
      <c r="AH39" s="19">
        <f t="shared" si="27"/>
        <v>2.1</v>
      </c>
      <c r="AI39" s="19">
        <f t="shared" si="28"/>
        <v>48.852844000000005</v>
      </c>
      <c r="AJ39" s="19">
        <f t="shared" si="29"/>
        <v>46.410201800000003</v>
      </c>
      <c r="AK39" s="20">
        <f t="shared" si="30"/>
        <v>1.5315366594000002</v>
      </c>
      <c r="AO39" s="21"/>
    </row>
    <row r="40" spans="1:50" x14ac:dyDescent="0.25">
      <c r="A40" t="s">
        <v>98</v>
      </c>
      <c r="B40" s="15">
        <v>0.64700000000000002</v>
      </c>
      <c r="C40" s="15">
        <v>0.60899999999999999</v>
      </c>
      <c r="D40" s="15">
        <v>0.35699999999999998</v>
      </c>
      <c r="E40" s="15">
        <v>0.31</v>
      </c>
      <c r="F40" s="16">
        <v>7.2999999999999995E-2</v>
      </c>
      <c r="G40" s="16">
        <v>0.127</v>
      </c>
      <c r="H40" s="16">
        <v>0.105</v>
      </c>
      <c r="I40" s="23">
        <v>0.21</v>
      </c>
      <c r="J40" s="16">
        <v>4.0000000000000001E-3</v>
      </c>
      <c r="K40" s="18">
        <v>0.15</v>
      </c>
      <c r="L40" s="16">
        <v>0.193</v>
      </c>
      <c r="M40" s="15">
        <v>127.9</v>
      </c>
      <c r="N40" s="15">
        <v>85.9</v>
      </c>
      <c r="O40" s="15">
        <v>0.26300000000000001</v>
      </c>
      <c r="P40" s="15">
        <v>9</v>
      </c>
      <c r="Q40" s="15">
        <v>5.4</v>
      </c>
      <c r="R40" s="15">
        <v>14.4</v>
      </c>
      <c r="S40" s="15">
        <v>16</v>
      </c>
      <c r="T40" s="15">
        <v>6</v>
      </c>
      <c r="U40" s="15">
        <v>0.2</v>
      </c>
      <c r="V40" s="15">
        <v>1</v>
      </c>
      <c r="W40" s="15">
        <v>0.99</v>
      </c>
      <c r="X40" s="19">
        <f t="shared" si="17"/>
        <v>42.655550000000005</v>
      </c>
      <c r="Y40" s="19">
        <f t="shared" si="18"/>
        <v>0.21171600000000007</v>
      </c>
      <c r="Z40" s="19">
        <f t="shared" si="19"/>
        <v>10</v>
      </c>
      <c r="AA40" s="19">
        <f t="shared" si="20"/>
        <v>8.8490000000000002</v>
      </c>
      <c r="AB40" s="19">
        <f t="shared" si="21"/>
        <v>6.2208800000000002</v>
      </c>
      <c r="AC40" s="19">
        <f t="shared" si="22"/>
        <v>3.3551000000000002</v>
      </c>
      <c r="AD40" s="19">
        <f t="shared" si="23"/>
        <v>5.718300000000001</v>
      </c>
      <c r="AE40" s="19">
        <f t="shared" si="24"/>
        <v>2.3300000000000001E-2</v>
      </c>
      <c r="AF40" s="19">
        <f t="shared" si="25"/>
        <v>6.3209999999999997</v>
      </c>
      <c r="AG40" s="19">
        <f t="shared" si="26"/>
        <v>6.1926000000000005</v>
      </c>
      <c r="AH40" s="19">
        <f t="shared" si="27"/>
        <v>4.5999999999999996</v>
      </c>
      <c r="AI40" s="19">
        <f t="shared" si="28"/>
        <v>62.681300000000007</v>
      </c>
      <c r="AJ40" s="19">
        <f t="shared" si="29"/>
        <v>62.054487000000009</v>
      </c>
      <c r="AK40" s="20">
        <f t="shared" si="30"/>
        <v>2.7924519150000005</v>
      </c>
      <c r="AO40" s="21"/>
    </row>
    <row r="41" spans="1:50" x14ac:dyDescent="0.25">
      <c r="A41" t="s">
        <v>99</v>
      </c>
      <c r="B41" s="15">
        <v>0.54500000000000004</v>
      </c>
      <c r="C41" s="15">
        <v>0.50700000000000001</v>
      </c>
      <c r="D41" s="15">
        <v>0.156</v>
      </c>
      <c r="E41" s="15">
        <v>0.40200000000000002</v>
      </c>
      <c r="F41" s="16">
        <v>9.0999999999999998E-2</v>
      </c>
      <c r="G41" s="16">
        <v>0.17100000000000001</v>
      </c>
      <c r="H41" s="16">
        <v>7.6999999999999999E-2</v>
      </c>
      <c r="I41" s="23">
        <v>1.2E-2</v>
      </c>
      <c r="J41" s="16">
        <v>7.5999999999999998E-2</v>
      </c>
      <c r="K41" s="18">
        <v>0.17499999999999999</v>
      </c>
      <c r="L41" s="16">
        <v>0.21099999999999999</v>
      </c>
      <c r="M41" s="15">
        <v>106.4</v>
      </c>
      <c r="N41" s="15">
        <v>86.7</v>
      </c>
      <c r="O41" s="15">
        <v>0.189</v>
      </c>
      <c r="P41" s="15">
        <v>5.4</v>
      </c>
      <c r="Q41" s="15">
        <v>4</v>
      </c>
      <c r="R41" s="15">
        <v>9.4</v>
      </c>
      <c r="S41" s="15">
        <v>9</v>
      </c>
      <c r="T41" s="15">
        <v>6</v>
      </c>
      <c r="U41" s="15">
        <v>0.2</v>
      </c>
      <c r="V41" s="15">
        <v>1</v>
      </c>
      <c r="W41" s="15">
        <v>0.95</v>
      </c>
      <c r="X41" s="19">
        <f t="shared" si="17"/>
        <v>32.965050000000005</v>
      </c>
      <c r="Y41" s="19">
        <f t="shared" si="18"/>
        <v>0.10933200000000004</v>
      </c>
      <c r="Z41" s="19">
        <f t="shared" si="19"/>
        <v>10</v>
      </c>
      <c r="AA41" s="19">
        <f t="shared" si="20"/>
        <v>3.9890000000000008</v>
      </c>
      <c r="AB41" s="19">
        <f t="shared" si="21"/>
        <v>4.6117600000000003</v>
      </c>
      <c r="AC41" s="19">
        <f t="shared" si="22"/>
        <v>2.8059400000000001</v>
      </c>
      <c r="AD41" s="19">
        <f t="shared" si="23"/>
        <v>4.4481000000000002</v>
      </c>
      <c r="AE41" s="19">
        <f t="shared" si="24"/>
        <v>3.006E-2</v>
      </c>
      <c r="AF41" s="19">
        <f t="shared" si="25"/>
        <v>5.7942</v>
      </c>
      <c r="AG41" s="19">
        <f t="shared" si="26"/>
        <v>5.8765200000000002</v>
      </c>
      <c r="AH41" s="19">
        <f t="shared" si="27"/>
        <v>2.4125000000000001</v>
      </c>
      <c r="AI41" s="19">
        <f t="shared" si="28"/>
        <v>47.905924000000006</v>
      </c>
      <c r="AJ41" s="19">
        <f t="shared" si="29"/>
        <v>45.510627800000002</v>
      </c>
      <c r="AK41" s="20">
        <f t="shared" si="30"/>
        <v>1.2287869506000002</v>
      </c>
      <c r="AO41" s="21"/>
    </row>
    <row r="42" spans="1:50" x14ac:dyDescent="0.25">
      <c r="A42" t="s">
        <v>100</v>
      </c>
      <c r="B42" s="15">
        <v>0.59799999999999998</v>
      </c>
      <c r="C42" s="15">
        <v>0.56399999999999995</v>
      </c>
      <c r="D42" s="15">
        <v>0</v>
      </c>
      <c r="E42" s="15">
        <v>0.61099999999999999</v>
      </c>
      <c r="F42" s="16">
        <v>0.19400000000000001</v>
      </c>
      <c r="G42" s="16">
        <v>0.34300000000000003</v>
      </c>
      <c r="H42" s="16">
        <v>0.12</v>
      </c>
      <c r="I42" s="23">
        <v>2.5999999999999999E-2</v>
      </c>
      <c r="J42" s="16">
        <v>2.1000000000000001E-2</v>
      </c>
      <c r="K42" s="18">
        <v>0.20699999999999999</v>
      </c>
      <c r="L42" s="16">
        <v>0.222</v>
      </c>
      <c r="M42" s="15">
        <v>113</v>
      </c>
      <c r="N42" s="15">
        <v>74.3</v>
      </c>
      <c r="O42" s="15">
        <v>0.21</v>
      </c>
      <c r="P42" s="15">
        <v>6.3</v>
      </c>
      <c r="Q42" s="15">
        <v>2.6</v>
      </c>
      <c r="R42" s="15">
        <v>8.9</v>
      </c>
      <c r="S42" s="15">
        <v>10</v>
      </c>
      <c r="T42" s="15">
        <v>8</v>
      </c>
      <c r="U42" s="15">
        <v>0.2</v>
      </c>
      <c r="V42" s="15">
        <v>1</v>
      </c>
      <c r="W42" s="15">
        <v>0.95</v>
      </c>
      <c r="X42" s="19">
        <f t="shared" si="17"/>
        <v>35.958300000000001</v>
      </c>
      <c r="Y42" s="19">
        <f t="shared" si="18"/>
        <v>0.163464</v>
      </c>
      <c r="Z42" s="19">
        <f t="shared" si="19"/>
        <v>10</v>
      </c>
      <c r="AA42" s="19">
        <f t="shared" si="20"/>
        <v>6.299999999999998</v>
      </c>
      <c r="AB42" s="19">
        <f t="shared" si="21"/>
        <v>5.9445200000000007</v>
      </c>
      <c r="AC42" s="19">
        <f t="shared" si="22"/>
        <v>2.9465599999999998</v>
      </c>
      <c r="AD42" s="19">
        <f t="shared" si="23"/>
        <v>4.7027000000000001</v>
      </c>
      <c r="AE42" s="19">
        <f t="shared" si="24"/>
        <v>6.2359999999999999E-2</v>
      </c>
      <c r="AF42" s="19">
        <f t="shared" si="25"/>
        <v>5.727100000000001</v>
      </c>
      <c r="AG42" s="19">
        <f t="shared" si="26"/>
        <v>6.63626</v>
      </c>
      <c r="AH42" s="19">
        <f t="shared" si="27"/>
        <v>2.7250000000000001</v>
      </c>
      <c r="AI42" s="19">
        <f t="shared" si="28"/>
        <v>55.320811999999997</v>
      </c>
      <c r="AJ42" s="19">
        <f t="shared" si="29"/>
        <v>52.554771399999993</v>
      </c>
      <c r="AK42" s="20">
        <f t="shared" si="30"/>
        <v>1.6554752990999997</v>
      </c>
      <c r="AO42" s="21"/>
    </row>
    <row r="43" spans="1:50" x14ac:dyDescent="0.25">
      <c r="A43" t="s">
        <v>101</v>
      </c>
      <c r="B43" s="15">
        <v>1348</v>
      </c>
      <c r="C43" s="15">
        <v>303</v>
      </c>
      <c r="D43" s="16">
        <v>0.48249999999999998</v>
      </c>
      <c r="E43" s="16">
        <v>0.42780000000000001</v>
      </c>
      <c r="F43" s="15">
        <v>0.5</v>
      </c>
      <c r="G43" s="15">
        <v>23.79</v>
      </c>
      <c r="H43" s="15">
        <v>102</v>
      </c>
      <c r="I43" s="17">
        <v>66</v>
      </c>
      <c r="J43" s="15">
        <v>66</v>
      </c>
      <c r="K43" s="15">
        <v>3</v>
      </c>
      <c r="L43" s="16">
        <v>0.60709999999999997</v>
      </c>
      <c r="M43" s="16">
        <v>0.95650000000000002</v>
      </c>
      <c r="N43" s="16">
        <v>7.4899999999999994E-2</v>
      </c>
      <c r="O43" s="16">
        <v>0.1246</v>
      </c>
      <c r="P43" s="15">
        <v>27</v>
      </c>
      <c r="Q43" s="15"/>
      <c r="R43" s="15"/>
      <c r="S43" s="15"/>
      <c r="T43" s="15">
        <v>5</v>
      </c>
      <c r="U43" s="15">
        <v>0.2</v>
      </c>
      <c r="V43" s="15">
        <v>1.01</v>
      </c>
      <c r="W43" s="15"/>
      <c r="X43" s="19">
        <f>IF(B43=0,0,100*(C43+2*H43+3*I43)/B43)</f>
        <v>52.299703264094958</v>
      </c>
      <c r="Y43" s="19">
        <f>IF(C43=0,0,(J43+K43)/C43)</f>
        <v>0.22772277227722773</v>
      </c>
      <c r="Z43" s="19"/>
      <c r="AA43" s="19">
        <f>MAX(0,MIN(10,5+50*(D43-0.55)+25*(E43-F43)))</f>
        <v>0</v>
      </c>
      <c r="AB43" s="19">
        <f>MAX(0,MIN(10,0.2*G43+5*Y43))</f>
        <v>5.8966138613861387</v>
      </c>
      <c r="AC43" s="19">
        <f t="shared" ref="AC43:AC46" si="31">MAX(0,MIN(10,X43/4))</f>
        <v>10</v>
      </c>
      <c r="AD43" s="19">
        <f>MAX(0,MIN(10,2+0.15*G43+4*Y43-0.03*((L43+M43)/2)))</f>
        <v>6.455937089108911</v>
      </c>
      <c r="AE43" s="19">
        <f>MAX(0,MIN(10,0.15*N43+0.08*O43))</f>
        <v>2.1203E-2</v>
      </c>
      <c r="AF43" s="19"/>
      <c r="AG43" s="19"/>
      <c r="AH43" s="19">
        <f>MAX(0,MIN(10,P43/3.2-2*U43))</f>
        <v>8.0374999999999996</v>
      </c>
      <c r="AI43" s="19">
        <f>10*(0.22*AA43+0.2*AB43+0.18*AC43+0.12*AD43+0.1*AE43+0.13*T43+0.05*AH43)</f>
        <v>48.080305229702972</v>
      </c>
      <c r="AJ43" s="19">
        <f>AI43*V43</f>
        <v>48.561108281999999</v>
      </c>
      <c r="AK43" s="20">
        <f>AJ43*(P43/200)</f>
        <v>6.5557496180700001</v>
      </c>
      <c r="AO43" s="21"/>
    </row>
    <row r="44" spans="1:50" x14ac:dyDescent="0.25">
      <c r="A44" t="s">
        <v>102</v>
      </c>
      <c r="B44" s="15">
        <v>396</v>
      </c>
      <c r="C44" s="15">
        <v>74</v>
      </c>
      <c r="D44" s="16">
        <v>0.52110000000000001</v>
      </c>
      <c r="E44" s="16">
        <v>0.4773</v>
      </c>
      <c r="F44" s="15">
        <v>0.48</v>
      </c>
      <c r="G44" s="15">
        <v>18.07</v>
      </c>
      <c r="H44" s="15">
        <v>20</v>
      </c>
      <c r="I44" s="17">
        <v>15</v>
      </c>
      <c r="J44" s="15">
        <v>28</v>
      </c>
      <c r="K44" s="15">
        <v>0</v>
      </c>
      <c r="L44" s="16">
        <v>0.41670000000000001</v>
      </c>
      <c r="M44" s="16">
        <v>1</v>
      </c>
      <c r="N44" s="16">
        <v>9.7999999999999997E-3</v>
      </c>
      <c r="O44" s="16">
        <v>0.10920000000000001</v>
      </c>
      <c r="P44" s="15">
        <v>28</v>
      </c>
      <c r="Q44" s="15"/>
      <c r="R44" s="15"/>
      <c r="S44" s="15"/>
      <c r="T44" s="15">
        <v>5</v>
      </c>
      <c r="U44" s="15">
        <v>0.2</v>
      </c>
      <c r="V44" s="15">
        <v>1</v>
      </c>
      <c r="W44" s="15"/>
      <c r="X44" s="19">
        <f>IF(B44=0,0,100*(C44+2*H44+3*I44)/B44)</f>
        <v>40.151515151515149</v>
      </c>
      <c r="Y44" s="19">
        <f>IF(C44=0,0,(J44+K44)/C44)</f>
        <v>0.3783783783783784</v>
      </c>
      <c r="Z44" s="19"/>
      <c r="AA44" s="19">
        <f>MAX(0,MIN(10,5+50*(D44-0.55)+25*(E44-F44)))</f>
        <v>3.4874999999999985</v>
      </c>
      <c r="AB44" s="19">
        <f>MAX(0,MIN(10,0.2*G44+5*Y44))</f>
        <v>5.505891891891892</v>
      </c>
      <c r="AC44" s="19">
        <f t="shared" si="31"/>
        <v>10</v>
      </c>
      <c r="AD44" s="19">
        <f>MAX(0,MIN(10,2+0.15*G44+4*Y44-0.03*((L44+M44)/2)))</f>
        <v>6.2027630135135139</v>
      </c>
      <c r="AE44" s="19">
        <f>MAX(0,MIN(10,0.15*N44+0.08*O44))</f>
        <v>1.0206E-2</v>
      </c>
      <c r="AF44" s="19"/>
      <c r="AG44" s="19"/>
      <c r="AH44" s="19">
        <f>MAX(0,MIN(10,P44/3.2-2*U44))</f>
        <v>8.35</v>
      </c>
      <c r="AI44" s="19">
        <f>10*(0.22*AA44+0.2*AB44+0.18*AC44+0.12*AD44+0.1*AE44+0.13*T44+0.05*AH44)</f>
        <v>54.812805400000002</v>
      </c>
      <c r="AJ44" s="19">
        <f>AI44*V44</f>
        <v>54.812805400000002</v>
      </c>
      <c r="AK44" s="20">
        <f>AJ44*(P44/200)</f>
        <v>7.673792756000001</v>
      </c>
      <c r="AO44" s="21"/>
    </row>
    <row r="45" spans="1:50" x14ac:dyDescent="0.25">
      <c r="A45" t="s">
        <v>103</v>
      </c>
      <c r="B45" s="15">
        <v>0.53700000000000003</v>
      </c>
      <c r="C45" s="15">
        <v>0.50800000000000001</v>
      </c>
      <c r="D45" s="15">
        <v>0.53700000000000003</v>
      </c>
      <c r="E45" s="15">
        <v>0.193</v>
      </c>
      <c r="F45" s="16">
        <v>1.6E-2</v>
      </c>
      <c r="G45" s="16">
        <v>0.158</v>
      </c>
      <c r="H45" s="16">
        <v>0.14699999999999999</v>
      </c>
      <c r="I45" s="23">
        <v>1.2E-2</v>
      </c>
      <c r="J45" s="16">
        <v>8.0000000000000002E-3</v>
      </c>
      <c r="K45" s="18">
        <v>0.16500000000000001</v>
      </c>
      <c r="L45" s="16">
        <v>0.223</v>
      </c>
      <c r="M45" s="15">
        <v>103.2</v>
      </c>
      <c r="N45" s="15">
        <v>92.8</v>
      </c>
      <c r="O45" s="15">
        <v>0.14899999999999999</v>
      </c>
      <c r="P45" s="15">
        <v>4.7</v>
      </c>
      <c r="Q45" s="15">
        <v>2.8</v>
      </c>
      <c r="R45" s="15">
        <v>7.5</v>
      </c>
      <c r="S45" s="15">
        <v>8</v>
      </c>
      <c r="T45" s="15">
        <v>5</v>
      </c>
      <c r="U45" s="15">
        <v>0.2</v>
      </c>
      <c r="V45" s="15">
        <v>1</v>
      </c>
      <c r="W45" s="15">
        <v>0.95</v>
      </c>
      <c r="X45" s="19">
        <f>MAX(0,MIN(100,0.45*M45+0.6*H45+0.35*L45-0.2*K45-15))</f>
        <v>31.573250000000002</v>
      </c>
      <c r="Y45" s="19">
        <f>MAX(0,MIN(1,0.012*L45+0.025*P45+0.3*E45+0.2*D45-0.18))</f>
        <v>0.10547600000000001</v>
      </c>
      <c r="Z45" s="19">
        <f>MAX(0,MIN(10,1+0.45*R45+30*O45+0.04*(M45-N45)))</f>
        <v>9.2609999999999992</v>
      </c>
      <c r="AA45" s="19">
        <f>MAX(0,MIN(10,3+20*(B45-0.52)+15*(C45-0.5)+0.06*(M45-100)))</f>
        <v>3.6520000000000006</v>
      </c>
      <c r="AB45" s="19">
        <f>MAX(0,MIN(10,0.16*L45+0.55*P45+4*E45))</f>
        <v>3.3926800000000004</v>
      </c>
      <c r="AC45" s="19">
        <f>MAX(0,MIN(10,2+0.22*H45-0.12*K45+0.15*P45))</f>
        <v>2.7175400000000001</v>
      </c>
      <c r="AD45" s="19">
        <f>MAX(0,MIN(10,2+0.28*P45+0.1*L45+2*D45+1.5*E45))</f>
        <v>4.7018000000000004</v>
      </c>
      <c r="AE45" s="19">
        <f>MAX(0,MIN(10,0.18*F45+0.08*G45))</f>
        <v>1.5519999999999999E-2</v>
      </c>
      <c r="AF45" s="19">
        <f>MAX(0,MIN(10,4+0.3*Q45+0.6*I45+0.5*J45+0.03*(105-N45)))</f>
        <v>5.2171999999999992</v>
      </c>
      <c r="AG45" s="19">
        <f>0.6*AF45+0.4*T45</f>
        <v>5.1303199999999993</v>
      </c>
      <c r="AH45" s="19">
        <f>MAX(0,MIN(10,S45/3.2-2*U45))</f>
        <v>2.1</v>
      </c>
      <c r="AI45" s="19">
        <f>10*(0.18*Z45+0.17*AA45+0.15*AB45+0.14*AC45+0.1*AD45+0.08*AE45+0.1*AG45+0.08*AH45)</f>
        <v>43.296312000000007</v>
      </c>
      <c r="AJ45" s="19">
        <f>AI45*V45*W45</f>
        <v>41.131496400000003</v>
      </c>
      <c r="AK45" s="20">
        <f>AJ45*(P45/200)</f>
        <v>0.96659016540000009</v>
      </c>
      <c r="AO45" s="21"/>
    </row>
    <row r="46" spans="1:50" x14ac:dyDescent="0.25">
      <c r="A46" t="s">
        <v>104</v>
      </c>
      <c r="B46" s="15">
        <v>2327</v>
      </c>
      <c r="C46" s="15">
        <v>558</v>
      </c>
      <c r="D46" s="16">
        <v>0.52859999999999996</v>
      </c>
      <c r="E46" s="16">
        <v>0.49170000000000003</v>
      </c>
      <c r="F46" s="15">
        <v>0.51</v>
      </c>
      <c r="G46" s="15">
        <v>22.83</v>
      </c>
      <c r="H46" s="15">
        <v>176</v>
      </c>
      <c r="I46" s="17">
        <v>159</v>
      </c>
      <c r="J46" s="15">
        <v>104</v>
      </c>
      <c r="K46" s="15">
        <v>36</v>
      </c>
      <c r="L46" s="16">
        <v>0.62860000000000005</v>
      </c>
      <c r="M46" s="16">
        <v>0.81540000000000001</v>
      </c>
      <c r="N46" s="16">
        <v>3.4099999999999998E-2</v>
      </c>
      <c r="O46" s="16">
        <v>7.3400000000000007E-2</v>
      </c>
      <c r="P46" s="15">
        <v>31.5</v>
      </c>
      <c r="Q46" s="15"/>
      <c r="R46" s="15"/>
      <c r="S46" s="15"/>
      <c r="T46" s="15">
        <v>4</v>
      </c>
      <c r="U46" s="15">
        <v>0.2</v>
      </c>
      <c r="V46" s="15">
        <v>1.02</v>
      </c>
      <c r="W46" s="15"/>
      <c r="X46" s="19">
        <f>IF(B46=0,0,100*(C46+2*H46+3*I46)/B46)</f>
        <v>59.604641168886978</v>
      </c>
      <c r="Y46" s="19">
        <f>IF(C46=0,0,(J46+K46)/C46)</f>
        <v>0.25089605734767023</v>
      </c>
      <c r="Z46" s="19"/>
      <c r="AA46" s="19">
        <f>MAX(0,MIN(10,5+50*(D46-0.55)+25*(E46-F46)))</f>
        <v>3.4724999999999961</v>
      </c>
      <c r="AB46" s="19">
        <f>MAX(0,MIN(10,0.2*G46+5*Y46))</f>
        <v>5.8204802867383512</v>
      </c>
      <c r="AC46" s="19">
        <f t="shared" si="31"/>
        <v>10</v>
      </c>
      <c r="AD46" s="19">
        <f>MAX(0,MIN(10,2+0.15*G46+4*Y46-0.03*((L46+M46)/2)))</f>
        <v>6.406424229390681</v>
      </c>
      <c r="AE46" s="19">
        <f>MAX(0,MIN(10,0.15*N46+0.08*O46))</f>
        <v>1.0987E-2</v>
      </c>
      <c r="AF46" s="19"/>
      <c r="AG46" s="19"/>
      <c r="AH46" s="19">
        <f>MAX(0,MIN(10,P46/3.2-2*U46))</f>
        <v>9.4437499999999996</v>
      </c>
      <c r="AI46" s="19">
        <f>10*(0.22*AA46+0.2*AB46+0.18*AC46+0.12*AD46+0.1*AE46+0.13*T46+0.05*AH46)</f>
        <v>54.901031648745509</v>
      </c>
      <c r="AJ46" s="19">
        <f>AI46*V46</f>
        <v>55.999052281720417</v>
      </c>
      <c r="AK46" s="20">
        <f>AJ46*(P46/200)</f>
        <v>8.8198507343709664</v>
      </c>
    </row>
    <row r="47" spans="1:50" x14ac:dyDescent="0.25">
      <c r="A47" t="s">
        <v>105</v>
      </c>
      <c r="B47" s="15">
        <v>1095</v>
      </c>
      <c r="C47" s="15">
        <v>543</v>
      </c>
      <c r="D47" s="16">
        <v>0.56330000000000002</v>
      </c>
      <c r="E47" s="16">
        <v>0.52959999999999996</v>
      </c>
      <c r="F47" s="15">
        <v>0.55000000000000004</v>
      </c>
      <c r="G47" s="15">
        <v>23.12</v>
      </c>
      <c r="H47" s="15">
        <v>322</v>
      </c>
      <c r="I47" s="17">
        <v>3</v>
      </c>
      <c r="J47" s="15">
        <v>122</v>
      </c>
      <c r="K47" s="15">
        <v>0</v>
      </c>
      <c r="L47" s="16">
        <v>0.72519999999999996</v>
      </c>
      <c r="M47" s="18">
        <v>1</v>
      </c>
      <c r="N47" s="16">
        <v>0.1085</v>
      </c>
      <c r="O47" s="16">
        <v>0.20780000000000001</v>
      </c>
      <c r="P47" s="15">
        <v>28</v>
      </c>
      <c r="Q47" s="15"/>
      <c r="R47" s="15"/>
      <c r="S47" s="15"/>
      <c r="T47" s="15">
        <v>9</v>
      </c>
      <c r="U47" s="15">
        <v>0.3</v>
      </c>
      <c r="V47" s="15">
        <v>1.05</v>
      </c>
      <c r="W47" s="15"/>
      <c r="X47" s="19">
        <f>IF(B47=0,0,100*(C47+2*H47+3*I47)/B47)</f>
        <v>109.22374429223744</v>
      </c>
      <c r="Y47" s="19">
        <f>IF(C47=0,0,(J47+K47)/C47)</f>
        <v>0.22467771639042358</v>
      </c>
      <c r="Z47" s="19"/>
      <c r="AA47" s="19">
        <f>MAX(0,MIN(10,5+50*(D47-0.55)+25*(E47-F47)))</f>
        <v>5.1549999999999967</v>
      </c>
      <c r="AB47" s="19">
        <f>MAX(0,MIN(10,0.2*G47+5*Y47))</f>
        <v>5.7473885819521184</v>
      </c>
      <c r="AC47" s="19">
        <f t="shared" si="16"/>
        <v>10</v>
      </c>
      <c r="AD47" s="19">
        <f>MAX(0,MIN(10,2+0.15*G47+4*Y47-0.03*((L47+M47)/2)))</f>
        <v>6.340832865561695</v>
      </c>
      <c r="AE47" s="19">
        <f>MAX(0,MIN(10,0.15*N47+0.08*O47))</f>
        <v>3.2898999999999998E-2</v>
      </c>
      <c r="AF47" s="19"/>
      <c r="AG47" s="19"/>
      <c r="AH47" s="19">
        <f>MAX(0,MIN(10,P47/3.2-2*U47))</f>
        <v>8.15</v>
      </c>
      <c r="AI47" s="19">
        <f>10*(0.22*AA47+0.2*AB47+0.18*AC47+0.12*AD47+0.1*AE47+0.13*T47+0.05*AH47)</f>
        <v>64.25267560257825</v>
      </c>
      <c r="AJ47" s="19">
        <f>AI47*V47</f>
        <v>67.465309382707161</v>
      </c>
      <c r="AK47" s="20">
        <f>AJ47*(P47/200)</f>
        <v>9.4451433135790044</v>
      </c>
    </row>
    <row r="48" spans="1:50" s="11" customFormat="1" x14ac:dyDescent="0.25">
      <c r="A48" s="11" t="s">
        <v>106</v>
      </c>
      <c r="B48" s="26">
        <v>659</v>
      </c>
      <c r="C48" s="26">
        <v>107</v>
      </c>
      <c r="D48" s="27">
        <v>0.47349999999999998</v>
      </c>
      <c r="E48" s="27">
        <v>0.44290000000000002</v>
      </c>
      <c r="F48" s="26">
        <v>0.47</v>
      </c>
      <c r="G48" s="26">
        <v>17.2</v>
      </c>
      <c r="H48" s="26">
        <v>28</v>
      </c>
      <c r="I48" s="28">
        <v>42</v>
      </c>
      <c r="J48" s="26">
        <v>14</v>
      </c>
      <c r="K48" s="26">
        <v>9</v>
      </c>
      <c r="L48" s="27">
        <v>0.66669999999999996</v>
      </c>
      <c r="M48" s="27">
        <v>0.82350000000000001</v>
      </c>
      <c r="N48" s="27">
        <v>6.1699999999999998E-2</v>
      </c>
      <c r="O48" s="27">
        <v>0.12770000000000001</v>
      </c>
      <c r="P48" s="26">
        <v>14</v>
      </c>
      <c r="Q48" s="26"/>
      <c r="R48" s="26"/>
      <c r="S48" s="26"/>
      <c r="T48" s="26">
        <v>6</v>
      </c>
      <c r="U48" s="26">
        <v>0.3</v>
      </c>
      <c r="V48" s="26">
        <v>0.95</v>
      </c>
      <c r="W48" s="26"/>
      <c r="X48" s="29">
        <f>IF(B48=0,0,100*(C48+2*H48+3*I48)/B48)</f>
        <v>43.854324734446131</v>
      </c>
      <c r="Y48" s="29">
        <f>IF(C48=0,0,(J48+K48)/C48)</f>
        <v>0.21495327102803738</v>
      </c>
      <c r="Z48" s="29"/>
      <c r="AA48" s="29">
        <f>MAX(0,MIN(10,5+50*(D48-0.55)+25*(E48-F48)))</f>
        <v>0.49749999999999783</v>
      </c>
      <c r="AB48" s="29">
        <f>MAX(0,MIN(10,0.2*G48+5*Y48))</f>
        <v>4.5147663551401873</v>
      </c>
      <c r="AC48" s="29">
        <f t="shared" si="16"/>
        <v>10</v>
      </c>
      <c r="AD48" s="29">
        <f>MAX(0,MIN(10,2+0.15*G48+4*Y48-0.03*((L48+M48)/2)))</f>
        <v>5.4174600841121494</v>
      </c>
      <c r="AE48" s="29">
        <f>MAX(0,MIN(10,0.15*N48+0.08*O48))</f>
        <v>1.9471000000000002E-2</v>
      </c>
      <c r="AF48" s="29"/>
      <c r="AG48" s="29"/>
      <c r="AH48" s="29">
        <f>MAX(0,MIN(10,P48/3.2-2*U48))</f>
        <v>3.7749999999999999</v>
      </c>
      <c r="AI48" s="29">
        <f>10*(0.22*AA48+0.2*AB48+0.18*AC48+0.12*AD48+0.1*AE48+0.13*T48+0.05*AH48)</f>
        <v>44.331955811214954</v>
      </c>
      <c r="AJ48" s="29">
        <f>AI48*V48</f>
        <v>42.115358020654206</v>
      </c>
      <c r="AK48" s="30">
        <f>AJ48*(P48/200)</f>
        <v>2.9480750614457949</v>
      </c>
      <c r="AL48" s="1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s="6" customFormat="1" x14ac:dyDescent="0.25">
      <c r="A49" s="5" t="s">
        <v>107</v>
      </c>
      <c r="I49" s="7"/>
      <c r="AK49" s="24">
        <f>SUM(AK30:AK48)</f>
        <v>90.816613558501771</v>
      </c>
      <c r="AL49" s="3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s="6" customFormat="1" x14ac:dyDescent="0.25">
      <c r="A50" s="5"/>
      <c r="B50" s="4" t="s">
        <v>3</v>
      </c>
      <c r="C50" s="4" t="s">
        <v>4</v>
      </c>
      <c r="D50" s="4" t="s">
        <v>5</v>
      </c>
      <c r="E50" s="4" t="s">
        <v>6</v>
      </c>
      <c r="F50" s="4" t="s">
        <v>7</v>
      </c>
      <c r="G50" s="4" t="s">
        <v>8</v>
      </c>
      <c r="H50" s="4" t="s">
        <v>9</v>
      </c>
      <c r="I50" s="9" t="s">
        <v>10</v>
      </c>
      <c r="J50" s="4" t="s">
        <v>11</v>
      </c>
      <c r="K50" s="4" t="s">
        <v>12</v>
      </c>
      <c r="L50" s="4" t="s">
        <v>13</v>
      </c>
      <c r="M50" s="4" t="s">
        <v>14</v>
      </c>
      <c r="N50" s="4" t="s">
        <v>15</v>
      </c>
      <c r="O50" s="4" t="s">
        <v>16</v>
      </c>
      <c r="P50" s="4" t="s">
        <v>17</v>
      </c>
      <c r="Q50" s="4" t="s">
        <v>18</v>
      </c>
      <c r="R50" s="4" t="s">
        <v>19</v>
      </c>
      <c r="S50" s="4" t="s">
        <v>20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3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s="11" customFormat="1" x14ac:dyDescent="0.25">
      <c r="A51" s="10" t="s">
        <v>108</v>
      </c>
      <c r="B51" s="11" t="s">
        <v>22</v>
      </c>
      <c r="C51" s="11" t="s">
        <v>23</v>
      </c>
      <c r="D51" s="11" t="s">
        <v>3</v>
      </c>
      <c r="E51" s="11" t="s">
        <v>4</v>
      </c>
      <c r="F51" s="11" t="s">
        <v>24</v>
      </c>
      <c r="G51" s="11" t="s">
        <v>25</v>
      </c>
      <c r="H51" s="11" t="s">
        <v>26</v>
      </c>
      <c r="I51" s="12" t="s">
        <v>27</v>
      </c>
      <c r="J51" s="11" t="s">
        <v>28</v>
      </c>
      <c r="K51" s="11" t="s">
        <v>29</v>
      </c>
      <c r="L51" s="11" t="s">
        <v>30</v>
      </c>
      <c r="M51" s="11" t="s">
        <v>31</v>
      </c>
      <c r="N51" s="11" t="s">
        <v>32</v>
      </c>
      <c r="O51" s="11" t="s">
        <v>33</v>
      </c>
      <c r="P51" s="11" t="s">
        <v>20</v>
      </c>
      <c r="T51" s="11" t="s">
        <v>34</v>
      </c>
      <c r="U51" s="11" t="s">
        <v>35</v>
      </c>
      <c r="V51" s="11" t="s">
        <v>36</v>
      </c>
      <c r="W51" s="11" t="s">
        <v>37</v>
      </c>
      <c r="X51" s="11" t="s">
        <v>38</v>
      </c>
      <c r="Y51" s="11" t="s">
        <v>39</v>
      </c>
      <c r="Z51" s="11" t="s">
        <v>40</v>
      </c>
      <c r="AA51" s="11" t="s">
        <v>41</v>
      </c>
      <c r="AB51" s="11" t="s">
        <v>42</v>
      </c>
      <c r="AC51" s="11" t="s">
        <v>43</v>
      </c>
      <c r="AD51" s="11" t="s">
        <v>44</v>
      </c>
      <c r="AE51" s="11" t="s">
        <v>45</v>
      </c>
      <c r="AF51" s="11" t="s">
        <v>46</v>
      </c>
      <c r="AG51" s="11" t="s">
        <v>47</v>
      </c>
      <c r="AH51" s="11" t="s">
        <v>48</v>
      </c>
      <c r="AI51" s="11" t="s">
        <v>49</v>
      </c>
      <c r="AJ51" s="11" t="s">
        <v>50</v>
      </c>
      <c r="AK51" s="13" t="s">
        <v>51</v>
      </c>
      <c r="AL51" s="1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t="s">
        <v>109</v>
      </c>
      <c r="B52" s="15">
        <v>867</v>
      </c>
      <c r="C52" s="15">
        <v>160</v>
      </c>
      <c r="D52" s="16">
        <v>0.51280000000000003</v>
      </c>
      <c r="E52" s="16">
        <v>0.46639999999999998</v>
      </c>
      <c r="F52" s="15">
        <v>0.51</v>
      </c>
      <c r="G52" s="15">
        <v>18.72</v>
      </c>
      <c r="H52" s="15">
        <v>44</v>
      </c>
      <c r="I52" s="17">
        <v>45</v>
      </c>
      <c r="J52" s="15">
        <v>30</v>
      </c>
      <c r="K52" s="15">
        <v>6</v>
      </c>
      <c r="L52" s="16">
        <v>0.59460000000000002</v>
      </c>
      <c r="M52" s="16">
        <v>0.88239999999999996</v>
      </c>
      <c r="N52" s="16">
        <v>2.63E-2</v>
      </c>
      <c r="O52" s="16">
        <v>0.10050000000000001</v>
      </c>
      <c r="P52" s="15">
        <v>11</v>
      </c>
      <c r="Q52" s="15"/>
      <c r="R52" s="15"/>
      <c r="S52" s="15"/>
      <c r="T52" s="15">
        <v>4.5</v>
      </c>
      <c r="U52" s="15">
        <v>0.2</v>
      </c>
      <c r="V52" s="15">
        <v>0.98</v>
      </c>
      <c r="W52" s="15"/>
      <c r="X52" s="19">
        <f>IF(B52=0,0,100*(C52+2*H52+3*I52)/B52)</f>
        <v>44.175317185697807</v>
      </c>
      <c r="Y52" s="19">
        <f>IF(C52=0,0,(J52+K52)/C52)</f>
        <v>0.22500000000000001</v>
      </c>
      <c r="Z52" s="19"/>
      <c r="AA52" s="19">
        <f>MAX(0,MIN(10,5+50*(D52-0.55)+25*(E52-F52)))</f>
        <v>2.0499999999999989</v>
      </c>
      <c r="AB52" s="19">
        <f>MAX(0,MIN(10,0.2*G52+5*Y52))</f>
        <v>4.8689999999999998</v>
      </c>
      <c r="AC52" s="19">
        <f t="shared" ref="AC52:AC68" si="32">MAX(0,MIN(10,X52/4))</f>
        <v>10</v>
      </c>
      <c r="AD52" s="19">
        <f>MAX(0,MIN(10,2+0.15*G52+4*Y52-0.03*((L52+M52)/2)))</f>
        <v>5.6858450000000005</v>
      </c>
      <c r="AE52" s="19">
        <f>MAX(0,MIN(10,0.15*N52+0.08*O52))</f>
        <v>1.1984999999999999E-2</v>
      </c>
      <c r="AF52" s="19"/>
      <c r="AG52" s="19"/>
      <c r="AH52" s="19">
        <f>MAX(0,MIN(10,P52/3.2-2*U52))</f>
        <v>3.0375000000000001</v>
      </c>
      <c r="AI52" s="19">
        <f>10*(0.22*AA52+0.2*AB52+0.18*AC52+0.12*AD52+0.1*AE52+0.13*T52+0.05*AH52)</f>
        <v>46.451749000000007</v>
      </c>
      <c r="AJ52" s="19">
        <f>AI52*V52</f>
        <v>45.522714020000002</v>
      </c>
      <c r="AK52" s="20">
        <f>AJ52*(P52/200)</f>
        <v>2.5037492711000002</v>
      </c>
    </row>
    <row r="53" spans="1:50" x14ac:dyDescent="0.25">
      <c r="A53" t="s">
        <v>110</v>
      </c>
      <c r="B53" s="15">
        <v>290</v>
      </c>
      <c r="C53" s="15">
        <v>36</v>
      </c>
      <c r="D53" s="16">
        <v>0.46150000000000002</v>
      </c>
      <c r="E53" s="16">
        <v>0.46150000000000002</v>
      </c>
      <c r="F53" s="15">
        <v>0.53</v>
      </c>
      <c r="G53" s="15">
        <v>14.2</v>
      </c>
      <c r="H53" s="15">
        <v>2</v>
      </c>
      <c r="I53" s="17">
        <v>24</v>
      </c>
      <c r="J53" s="15">
        <v>10</v>
      </c>
      <c r="K53" s="15">
        <v>0</v>
      </c>
      <c r="L53" s="16">
        <v>0.16669999999999999</v>
      </c>
      <c r="M53" s="18">
        <v>1</v>
      </c>
      <c r="N53" s="16">
        <v>2.7400000000000001E-2</v>
      </c>
      <c r="O53" s="16">
        <v>2.4199999999999999E-2</v>
      </c>
      <c r="P53" s="15">
        <v>9</v>
      </c>
      <c r="Q53" s="15"/>
      <c r="R53" s="15"/>
      <c r="S53" s="15"/>
      <c r="T53" s="15">
        <v>2.5</v>
      </c>
      <c r="U53" s="15">
        <v>0.2</v>
      </c>
      <c r="V53" s="15">
        <v>0.96</v>
      </c>
      <c r="W53" s="15"/>
      <c r="X53" s="19">
        <f>IF(B53=0,0,100*(C53+2*H53+3*I53)/B53)</f>
        <v>38.620689655172413</v>
      </c>
      <c r="Y53" s="19">
        <f>IF(C53=0,0,(J53+K53)/C53)</f>
        <v>0.27777777777777779</v>
      </c>
      <c r="Z53" s="19"/>
      <c r="AA53" s="19">
        <f>MAX(0,MIN(10,5+50*(D53-0.55)+25*(E53-F53)))</f>
        <v>0</v>
      </c>
      <c r="AB53" s="19">
        <f>MAX(0,MIN(10,0.2*G53+5*Y53))</f>
        <v>4.2288888888888891</v>
      </c>
      <c r="AC53" s="19">
        <f t="shared" si="32"/>
        <v>9.6551724137931032</v>
      </c>
      <c r="AD53" s="19">
        <f>MAX(0,MIN(10,2+0.15*G53+4*Y53-0.03*((L53+M53)/2)))</f>
        <v>5.2236106111111118</v>
      </c>
      <c r="AE53" s="19">
        <f>MAX(0,MIN(10,0.15*N53+0.08*O53))</f>
        <v>6.0460000000000002E-3</v>
      </c>
      <c r="AF53" s="19"/>
      <c r="AG53" s="19"/>
      <c r="AH53" s="19">
        <f>MAX(0,MIN(10,P53/3.2-2*U53))</f>
        <v>2.4125000000000001</v>
      </c>
      <c r="AI53" s="19">
        <f>10*(0.22*AA53+0.2*AB53+0.18*AC53+0.12*AD53+0.1*AE53+0.13*T53+0.05*AH53)</f>
        <v>36.567716855938698</v>
      </c>
      <c r="AJ53" s="19">
        <f>AI53*V53</f>
        <v>35.105008181701152</v>
      </c>
      <c r="AK53" s="20">
        <f>AJ53*(P53/200)</f>
        <v>1.5797253681765517</v>
      </c>
    </row>
    <row r="54" spans="1:50" x14ac:dyDescent="0.25">
      <c r="A54" t="s">
        <v>111</v>
      </c>
      <c r="B54" s="15">
        <v>1560</v>
      </c>
      <c r="C54" s="15">
        <v>382</v>
      </c>
      <c r="D54" s="16">
        <v>0.56340000000000001</v>
      </c>
      <c r="E54" s="16">
        <v>0.52659999999999996</v>
      </c>
      <c r="F54" s="15">
        <v>0.46</v>
      </c>
      <c r="G54" s="15">
        <v>22.65</v>
      </c>
      <c r="H54" s="15">
        <v>246</v>
      </c>
      <c r="I54" s="17">
        <v>15</v>
      </c>
      <c r="J54" s="15">
        <v>56</v>
      </c>
      <c r="K54" s="15">
        <v>0</v>
      </c>
      <c r="L54" s="16">
        <v>0.81459999999999999</v>
      </c>
      <c r="M54" s="18">
        <v>1</v>
      </c>
      <c r="N54" s="16">
        <v>4.7699999999999999E-2</v>
      </c>
      <c r="O54" s="16">
        <v>0.20549999999999999</v>
      </c>
      <c r="P54" s="15">
        <v>25</v>
      </c>
      <c r="Q54" s="15"/>
      <c r="R54" s="15"/>
      <c r="S54" s="15"/>
      <c r="T54" s="15">
        <v>8</v>
      </c>
      <c r="U54" s="15">
        <v>0.2</v>
      </c>
      <c r="V54" s="15">
        <v>1.02</v>
      </c>
      <c r="W54" s="15"/>
      <c r="X54" s="19">
        <f>IF(B54=0,0,100*(C54+2*H54+3*I54)/B54)</f>
        <v>58.910256410256409</v>
      </c>
      <c r="Y54" s="19">
        <f>IF(C54=0,0,(J54+K54)/C54)</f>
        <v>0.14659685863874344</v>
      </c>
      <c r="Z54" s="19"/>
      <c r="AA54" s="19">
        <f>MAX(0,MIN(10,5+50*(D54-0.55)+25*(E54-F54)))</f>
        <v>7.3349999999999964</v>
      </c>
      <c r="AB54" s="19">
        <f>MAX(0,MIN(10,0.2*G54+5*Y54))</f>
        <v>5.2629842931937176</v>
      </c>
      <c r="AC54" s="19">
        <f t="shared" si="32"/>
        <v>10</v>
      </c>
      <c r="AD54" s="19">
        <f>MAX(0,MIN(10,2+0.15*G54+4*Y54-0.03*((L54+M54)/2)))</f>
        <v>5.956668434554973</v>
      </c>
      <c r="AE54" s="19">
        <f>MAX(0,MIN(10,0.15*N54+0.08*O54))</f>
        <v>2.3594999999999998E-2</v>
      </c>
      <c r="AF54" s="19"/>
      <c r="AG54" s="19"/>
      <c r="AH54" s="19">
        <f>MAX(0,MIN(10,P54/3.2-2*U54))</f>
        <v>7.4124999999999996</v>
      </c>
      <c r="AI54" s="19">
        <f>10*(0.22*AA54+0.2*AB54+0.18*AC54+0.12*AD54+0.1*AE54+0.13*T54+0.05*AH54)</f>
        <v>65.940815707853375</v>
      </c>
      <c r="AJ54" s="19">
        <f>AI54*V54</f>
        <v>67.25963202201045</v>
      </c>
      <c r="AK54" s="20">
        <f>AJ54*(P54/200)</f>
        <v>8.4074540027513063</v>
      </c>
    </row>
    <row r="55" spans="1:50" x14ac:dyDescent="0.25">
      <c r="A55" t="s">
        <v>112</v>
      </c>
      <c r="B55" s="15">
        <v>1045</v>
      </c>
      <c r="C55" s="15">
        <v>194</v>
      </c>
      <c r="D55" s="16">
        <v>0.50260000000000005</v>
      </c>
      <c r="E55" s="16">
        <v>0.4481</v>
      </c>
      <c r="F55" s="15">
        <v>0.51</v>
      </c>
      <c r="G55" s="15">
        <v>19.39</v>
      </c>
      <c r="H55" s="15">
        <v>106</v>
      </c>
      <c r="I55" s="17">
        <v>0</v>
      </c>
      <c r="J55" s="15">
        <v>32</v>
      </c>
      <c r="K55" s="15">
        <v>0</v>
      </c>
      <c r="L55" s="16">
        <v>0.7681</v>
      </c>
      <c r="M55" s="18">
        <v>0</v>
      </c>
      <c r="N55" s="16">
        <v>8.9399999999999993E-2</v>
      </c>
      <c r="O55" s="16">
        <v>0.1741</v>
      </c>
      <c r="P55" s="15">
        <v>22</v>
      </c>
      <c r="Q55" s="15"/>
      <c r="R55" s="15"/>
      <c r="S55" s="15"/>
      <c r="T55" s="15">
        <v>7.5</v>
      </c>
      <c r="U55" s="15">
        <v>0.3</v>
      </c>
      <c r="V55" s="15">
        <v>1</v>
      </c>
      <c r="W55" s="15"/>
      <c r="X55" s="19">
        <f>IF(B55=0,0,100*(C55+2*H55+3*I55)/B55)</f>
        <v>38.851674641148328</v>
      </c>
      <c r="Y55" s="19">
        <f>IF(C55=0,0,(J55+K55)/C55)</f>
        <v>0.16494845360824742</v>
      </c>
      <c r="Z55" s="19"/>
      <c r="AA55" s="19">
        <f>MAX(0,MIN(10,5+50*(D55-0.55)+25*(E55-F55)))</f>
        <v>1.0824999999999996</v>
      </c>
      <c r="AB55" s="19">
        <f>MAX(0,MIN(10,0.2*G55+5*Y55))</f>
        <v>4.702742268041237</v>
      </c>
      <c r="AC55" s="19">
        <f t="shared" si="32"/>
        <v>9.7129186602870821</v>
      </c>
      <c r="AD55" s="19">
        <f>MAX(0,MIN(10,2+0.15*G55+4*Y55-0.03*((L55+M55)/2)))</f>
        <v>5.5567723144329904</v>
      </c>
      <c r="AE55" s="19">
        <f>MAX(0,MIN(10,0.15*N55+0.08*O55))</f>
        <v>2.7338000000000001E-2</v>
      </c>
      <c r="AF55" s="19"/>
      <c r="AG55" s="19"/>
      <c r="AH55" s="19">
        <f>MAX(0,MIN(10,P55/3.2-2*U55))</f>
        <v>6.2750000000000004</v>
      </c>
      <c r="AI55" s="19">
        <f>10*(0.22*AA55+0.2*AB55+0.18*AC55+0.12*AD55+0.1*AE55+0.13*T55+0.05*AH55)</f>
        <v>48.853202901918806</v>
      </c>
      <c r="AJ55" s="19">
        <f>AI55*V55</f>
        <v>48.853202901918806</v>
      </c>
      <c r="AK55" s="20">
        <f>AJ55*(P55/200)</f>
        <v>5.3738523192110685</v>
      </c>
    </row>
    <row r="56" spans="1:50" x14ac:dyDescent="0.25">
      <c r="A56" t="s">
        <v>113</v>
      </c>
      <c r="B56" s="15">
        <v>1544</v>
      </c>
      <c r="C56" s="15">
        <v>305</v>
      </c>
      <c r="D56" s="16">
        <v>0.57120000000000004</v>
      </c>
      <c r="E56" s="16">
        <v>0.52790000000000004</v>
      </c>
      <c r="F56" s="15">
        <v>0.5</v>
      </c>
      <c r="G56" s="15">
        <v>17.38</v>
      </c>
      <c r="H56" s="15">
        <v>166</v>
      </c>
      <c r="I56" s="17">
        <v>3</v>
      </c>
      <c r="J56" s="15">
        <v>58</v>
      </c>
      <c r="K56" s="15">
        <v>0</v>
      </c>
      <c r="L56" s="16">
        <v>0.74109999999999998</v>
      </c>
      <c r="M56" s="18">
        <v>1</v>
      </c>
      <c r="N56" s="16">
        <v>7.7399999999999997E-2</v>
      </c>
      <c r="O56" s="16">
        <v>0.16569999999999999</v>
      </c>
      <c r="P56" s="15">
        <v>22</v>
      </c>
      <c r="Q56" s="15"/>
      <c r="R56" s="15"/>
      <c r="S56" s="15"/>
      <c r="T56" s="15">
        <v>7</v>
      </c>
      <c r="U56" s="15">
        <v>0.4</v>
      </c>
      <c r="V56" s="15">
        <v>1</v>
      </c>
      <c r="W56" s="15"/>
      <c r="X56" s="19">
        <f>IF(B56=0,0,100*(C56+2*H56+3*I56)/B56)</f>
        <v>41.839378238341972</v>
      </c>
      <c r="Y56" s="19">
        <f>IF(C56=0,0,(J56+K56)/C56)</f>
        <v>0.1901639344262295</v>
      </c>
      <c r="Z56" s="19"/>
      <c r="AA56" s="19">
        <f>MAX(0,MIN(10,5+50*(D56-0.55)+25*(E56-F56)))</f>
        <v>6.7575000000000003</v>
      </c>
      <c r="AB56" s="19">
        <f>MAX(0,MIN(10,0.2*G56+5*Y56))</f>
        <v>4.4268196721311472</v>
      </c>
      <c r="AC56" s="19">
        <f t="shared" si="32"/>
        <v>10</v>
      </c>
      <c r="AD56" s="19">
        <f>MAX(0,MIN(10,2+0.15*G56+4*Y56-0.03*((L56+M56)/2)))</f>
        <v>5.341539237704918</v>
      </c>
      <c r="AE56" s="19">
        <f>MAX(0,MIN(10,0.15*N56+0.08*O56))</f>
        <v>2.4865999999999999E-2</v>
      </c>
      <c r="AF56" s="19"/>
      <c r="AG56" s="19"/>
      <c r="AH56" s="19">
        <f>MAX(0,MIN(10,P56/3.2-2*U56))</f>
        <v>6.0750000000000002</v>
      </c>
      <c r="AI56" s="19">
        <f>10*(0.22*AA56+0.2*AB56+0.18*AC56+0.12*AD56+0.1*AE56+0.13*T56+0.05*AH56)</f>
        <v>60.292352429508199</v>
      </c>
      <c r="AJ56" s="19">
        <f>AI56*V56</f>
        <v>60.292352429508199</v>
      </c>
      <c r="AK56" s="20">
        <f>AJ56*(P56/200)</f>
        <v>6.6321587672459019</v>
      </c>
    </row>
    <row r="57" spans="1:50" x14ac:dyDescent="0.25">
      <c r="A57" t="s">
        <v>114</v>
      </c>
      <c r="B57" s="15">
        <v>2153</v>
      </c>
      <c r="C57" s="15">
        <v>371</v>
      </c>
      <c r="D57" s="16">
        <v>0.49340000000000001</v>
      </c>
      <c r="E57" s="16">
        <v>0.46850000000000003</v>
      </c>
      <c r="F57" s="15">
        <v>0.48</v>
      </c>
      <c r="G57" s="15">
        <v>17.670000000000002</v>
      </c>
      <c r="H57" s="15">
        <v>80</v>
      </c>
      <c r="I57" s="17">
        <v>111</v>
      </c>
      <c r="J57" s="15">
        <v>118</v>
      </c>
      <c r="K57" s="15">
        <v>18</v>
      </c>
      <c r="L57" s="16">
        <v>0.40400000000000003</v>
      </c>
      <c r="M57" s="16">
        <v>0.86050000000000004</v>
      </c>
      <c r="N57" s="16">
        <v>2.7300000000000001E-2</v>
      </c>
      <c r="O57" s="16">
        <v>9.2299999999999993E-2</v>
      </c>
      <c r="P57" s="15">
        <v>26</v>
      </c>
      <c r="Q57" s="15"/>
      <c r="R57" s="15"/>
      <c r="S57" s="15"/>
      <c r="T57" s="15">
        <v>5</v>
      </c>
      <c r="U57" s="15">
        <v>0.4</v>
      </c>
      <c r="V57" s="15">
        <v>1</v>
      </c>
      <c r="W57" s="15"/>
      <c r="X57" s="19">
        <f>IF(B57=0,0,100*(C57+2*H57+3*I57)/B57)</f>
        <v>40.130051091500235</v>
      </c>
      <c r="Y57" s="19">
        <f>IF(C57=0,0,(J57+K57)/C57)</f>
        <v>0.36657681940700809</v>
      </c>
      <c r="Z57" s="19"/>
      <c r="AA57" s="19">
        <f>MAX(0,MIN(10,5+50*(D57-0.55)+25*(E57-F57)))</f>
        <v>1.8824999999999994</v>
      </c>
      <c r="AB57" s="19">
        <f>MAX(0,MIN(10,0.2*G57+5*Y57))</f>
        <v>5.3668840970350411</v>
      </c>
      <c r="AC57" s="19">
        <f t="shared" si="32"/>
        <v>10</v>
      </c>
      <c r="AD57" s="19">
        <f>MAX(0,MIN(10,2+0.15*G57+4*Y57-0.03*((L57+M57)/2)))</f>
        <v>6.0978397776280326</v>
      </c>
      <c r="AE57" s="19">
        <f>MAX(0,MIN(10,0.15*N57+0.08*O57))</f>
        <v>1.1479E-2</v>
      </c>
      <c r="AF57" s="19"/>
      <c r="AG57" s="19"/>
      <c r="AH57" s="19">
        <f>MAX(0,MIN(10,P57/3.2-2*U57))</f>
        <v>7.3250000000000002</v>
      </c>
      <c r="AI57" s="19">
        <f>10*(0.22*AA57+0.2*AB57+0.18*AC57+0.12*AD57+0.1*AE57+0.13*T57+0.05*AH57)</f>
        <v>50.366654927223721</v>
      </c>
      <c r="AJ57" s="19">
        <f>AI57*V57</f>
        <v>50.366654927223721</v>
      </c>
      <c r="AK57" s="20">
        <f>AJ57*(P57/200)</f>
        <v>6.5476651405390838</v>
      </c>
    </row>
    <row r="58" spans="1:50" x14ac:dyDescent="0.25">
      <c r="A58" t="s">
        <v>115</v>
      </c>
      <c r="B58" s="15">
        <v>1521</v>
      </c>
      <c r="C58" s="15">
        <v>314</v>
      </c>
      <c r="D58" s="16">
        <v>0.46039999999999998</v>
      </c>
      <c r="E58" s="16">
        <v>0.4047</v>
      </c>
      <c r="F58" s="15">
        <v>0.52</v>
      </c>
      <c r="G58" s="15">
        <v>21.9</v>
      </c>
      <c r="H58" s="15">
        <v>102</v>
      </c>
      <c r="I58" s="17">
        <v>51</v>
      </c>
      <c r="J58" s="15">
        <v>86</v>
      </c>
      <c r="K58" s="15">
        <v>3</v>
      </c>
      <c r="L58" s="16">
        <v>0.54259999999999997</v>
      </c>
      <c r="M58" s="16">
        <v>0.94440000000000002</v>
      </c>
      <c r="N58" s="16">
        <v>0.1027</v>
      </c>
      <c r="O58" s="16">
        <v>0.26229999999999998</v>
      </c>
      <c r="P58" s="15">
        <v>21</v>
      </c>
      <c r="Q58" s="15"/>
      <c r="R58" s="15"/>
      <c r="S58" s="15"/>
      <c r="T58" s="15">
        <v>8.5</v>
      </c>
      <c r="U58" s="15">
        <v>0.4</v>
      </c>
      <c r="V58" s="15">
        <v>1</v>
      </c>
      <c r="W58" s="15"/>
      <c r="X58" s="19">
        <f>IF(B58=0,0,100*(C58+2*H58+3*I58)/B58)</f>
        <v>44.115713346482579</v>
      </c>
      <c r="Y58" s="19">
        <f>IF(C58=0,0,(J58+K58)/C58)</f>
        <v>0.28343949044585987</v>
      </c>
      <c r="Z58" s="19"/>
      <c r="AA58" s="19">
        <f>MAX(0,MIN(10,5+50*(D58-0.55)+25*(E58-F58)))</f>
        <v>0</v>
      </c>
      <c r="AB58" s="19">
        <f>MAX(0,MIN(10,0.2*G58+5*Y58))</f>
        <v>5.7971974522292991</v>
      </c>
      <c r="AC58" s="19">
        <f t="shared" si="32"/>
        <v>10</v>
      </c>
      <c r="AD58" s="19">
        <f>MAX(0,MIN(10,2+0.15*G58+4*Y58-0.03*((L58+M58)/2)))</f>
        <v>6.3964529617834396</v>
      </c>
      <c r="AE58" s="19">
        <f>MAX(0,MIN(10,0.15*N58+0.08*O58))</f>
        <v>3.6388999999999998E-2</v>
      </c>
      <c r="AF58" s="19"/>
      <c r="AG58" s="19"/>
      <c r="AH58" s="19">
        <f>MAX(0,MIN(10,P58/3.2-2*U58))</f>
        <v>5.7625000000000002</v>
      </c>
      <c r="AI58" s="19">
        <f>10*(0.22*AA58+0.2*AB58+0.18*AC58+0.12*AD58+0.1*AE58+0.13*T58+0.05*AH58)</f>
        <v>51.237777458598721</v>
      </c>
      <c r="AJ58" s="19">
        <f>AI58*V58</f>
        <v>51.237777458598721</v>
      </c>
      <c r="AK58" s="20">
        <f>AJ58*(P58/200)</f>
        <v>5.3799666331528657</v>
      </c>
    </row>
    <row r="59" spans="1:50" x14ac:dyDescent="0.25">
      <c r="A59" t="s">
        <v>116</v>
      </c>
      <c r="B59" s="16">
        <v>0.64100000000000001</v>
      </c>
      <c r="C59" s="16">
        <v>0.61299999999999999</v>
      </c>
      <c r="D59" s="15">
        <v>0.55900000000000005</v>
      </c>
      <c r="E59" s="15">
        <v>0.124</v>
      </c>
      <c r="F59" s="16">
        <v>3.2000000000000001E-2</v>
      </c>
      <c r="G59" s="16">
        <v>8.7999999999999995E-2</v>
      </c>
      <c r="H59" s="16">
        <v>0.16300000000000001</v>
      </c>
      <c r="I59" s="23">
        <v>1.9E-2</v>
      </c>
      <c r="J59" s="16">
        <v>8.0000000000000002E-3</v>
      </c>
      <c r="K59" s="18">
        <v>0.106</v>
      </c>
      <c r="L59" s="16">
        <v>0.189</v>
      </c>
      <c r="M59" s="15">
        <v>134.69999999999999</v>
      </c>
      <c r="N59" s="15">
        <v>86.2</v>
      </c>
      <c r="O59" s="15">
        <v>0.21</v>
      </c>
      <c r="P59" s="15">
        <v>10.5</v>
      </c>
      <c r="Q59" s="15">
        <v>5.8</v>
      </c>
      <c r="R59" s="15">
        <v>16.3</v>
      </c>
      <c r="S59" s="15">
        <v>16</v>
      </c>
      <c r="T59" s="15">
        <v>5.5</v>
      </c>
      <c r="U59" s="15">
        <v>0.2</v>
      </c>
      <c r="V59" s="15">
        <v>1</v>
      </c>
      <c r="W59" s="15">
        <v>0.99</v>
      </c>
      <c r="X59" s="19">
        <f>MAX(0,MIN(100,0.45*M59+0.6*H59+0.35*L59-0.2*K59-15))</f>
        <v>45.757749999999994</v>
      </c>
      <c r="Y59" s="19">
        <f>MAX(0,MIN(1,0.012*L59+0.025*P59+0.3*E59+0.2*D59-0.18))</f>
        <v>0.23376800000000003</v>
      </c>
      <c r="Z59" s="19">
        <f>MAX(0,MIN(10,1+0.45*R59+30*O59+0.04*(M59-N59)))</f>
        <v>10</v>
      </c>
      <c r="AA59" s="19">
        <f>MAX(0,MIN(10,3+20*(B59-0.52)+15*(C59-0.5)+0.06*(M59-100)))</f>
        <v>9.1969999999999992</v>
      </c>
      <c r="AB59" s="19">
        <f>MAX(0,MIN(10,0.16*L59+0.55*P59+4*E59))</f>
        <v>6.30124</v>
      </c>
      <c r="AC59" s="19">
        <f>MAX(0,MIN(10,2+0.22*H59-0.12*K59+0.15*P59))</f>
        <v>3.5981399999999999</v>
      </c>
      <c r="AD59" s="19">
        <f>MAX(0,MIN(10,2+0.28*P59+0.1*L59+2*D59+1.5*E59))</f>
        <v>6.262900000000001</v>
      </c>
      <c r="AE59" s="19">
        <f>MAX(0,MIN(10,0.18*F59+0.08*G59))</f>
        <v>1.2799999999999999E-2</v>
      </c>
      <c r="AF59" s="19">
        <f>MAX(0,MIN(10,4+0.3*Q59+0.6*I59+0.5*J59+0.03*(105-N59)))</f>
        <v>6.3193999999999999</v>
      </c>
      <c r="AG59" s="19">
        <f>0.6*AF59+0.4*T59</f>
        <v>5.9916400000000003</v>
      </c>
      <c r="AH59" s="19">
        <f>MAX(0,MIN(10,S59/3.2-2*U59))</f>
        <v>4.5999999999999996</v>
      </c>
      <c r="AI59" s="19">
        <f>10*(0.18*Z59+0.17*AA59+0.15*AB59+0.14*AC59+0.1*AD59+0.08*AE59+0.1*AG59+0.08*AH59)</f>
        <v>64.068936000000008</v>
      </c>
      <c r="AJ59" s="19">
        <f>AI59*V59*W59</f>
        <v>63.428246640000005</v>
      </c>
      <c r="AK59" s="20">
        <f>AJ59*(P59/200)</f>
        <v>3.3299829486000001</v>
      </c>
    </row>
    <row r="60" spans="1:50" x14ac:dyDescent="0.25">
      <c r="A60" t="s">
        <v>117</v>
      </c>
      <c r="B60" s="16">
        <v>0.63239999999999996</v>
      </c>
      <c r="C60" s="16">
        <v>0.624</v>
      </c>
      <c r="D60" s="15">
        <v>9.8000000000000004E-2</v>
      </c>
      <c r="E60" s="15">
        <v>0.433</v>
      </c>
      <c r="F60" s="16">
        <v>0.13300000000000001</v>
      </c>
      <c r="G60" s="16">
        <v>0.26</v>
      </c>
      <c r="H60" s="16">
        <v>0.16900000000000001</v>
      </c>
      <c r="I60" s="23">
        <v>1.4999999999999999E-2</v>
      </c>
      <c r="J60" s="16">
        <v>3.7999999999999999E-2</v>
      </c>
      <c r="K60" s="18">
        <v>0.152</v>
      </c>
      <c r="L60" s="16">
        <v>0.246</v>
      </c>
      <c r="M60" s="15">
        <v>119.9</v>
      </c>
      <c r="N60" s="15">
        <v>80.400000000000006</v>
      </c>
      <c r="O60" s="15">
        <v>0.23</v>
      </c>
      <c r="P60" s="15">
        <v>9.9</v>
      </c>
      <c r="Q60" s="15">
        <v>4.7</v>
      </c>
      <c r="R60" s="15">
        <v>14.6</v>
      </c>
      <c r="S60" s="15">
        <v>15</v>
      </c>
      <c r="T60" s="15">
        <v>7</v>
      </c>
      <c r="U60" s="15">
        <v>0.2</v>
      </c>
      <c r="V60" s="15">
        <v>1</v>
      </c>
      <c r="W60" s="15">
        <v>0.99</v>
      </c>
      <c r="X60" s="19">
        <f t="shared" ref="X60:X63" si="33">MAX(0,MIN(100,0.45*M60+0.6*H60+0.35*L60-0.2*K60-15))</f>
        <v>39.112100000000005</v>
      </c>
      <c r="Y60" s="19">
        <f t="shared" ref="Y60:Y63" si="34">MAX(0,MIN(1,0.012*L60+0.025*P60+0.3*E60+0.2*D60-0.18))</f>
        <v>0.21995200000000004</v>
      </c>
      <c r="Z60" s="19">
        <f t="shared" ref="Z60:Z63" si="35">MAX(0,MIN(10,1+0.45*R60+30*O60+0.04*(M60-N60)))</f>
        <v>10</v>
      </c>
      <c r="AA60" s="19">
        <f t="shared" ref="AA60:AA63" si="36">MAX(0,MIN(10,3+20*(B60-0.52)+15*(C60-0.5)+0.06*(M60-100)))</f>
        <v>8.3019999999999996</v>
      </c>
      <c r="AB60" s="19">
        <f t="shared" ref="AB60:AB63" si="37">MAX(0,MIN(10,0.16*L60+0.55*P60+4*E60))</f>
        <v>7.2163600000000008</v>
      </c>
      <c r="AC60" s="19">
        <f t="shared" ref="AC60:AC63" si="38">MAX(0,MIN(10,2+0.22*H60-0.12*K60+0.15*P60))</f>
        <v>3.5039400000000001</v>
      </c>
      <c r="AD60" s="19">
        <f t="shared" ref="AD60:AD63" si="39">MAX(0,MIN(10,2+0.28*P60+0.1*L60+2*D60+1.5*E60))</f>
        <v>5.6421000000000001</v>
      </c>
      <c r="AE60" s="19">
        <f t="shared" ref="AE60:AE63" si="40">MAX(0,MIN(10,0.18*F60+0.08*G60))</f>
        <v>4.4740000000000002E-2</v>
      </c>
      <c r="AF60" s="19">
        <f t="shared" ref="AF60:AF63" si="41">MAX(0,MIN(10,4+0.3*Q60+0.6*I60+0.5*J60+0.03*(105-N60)))</f>
        <v>6.1760000000000002</v>
      </c>
      <c r="AG60" s="19">
        <f t="shared" ref="AG60:AG63" si="42">0.6*AF60+0.4*T60</f>
        <v>6.5056000000000003</v>
      </c>
      <c r="AH60" s="19">
        <f t="shared" ref="AH60:AH63" si="43">MAX(0,MIN(10,S60/3.2-2*U60))</f>
        <v>4.2874999999999996</v>
      </c>
      <c r="AI60" s="19">
        <f t="shared" ref="AI60:AI63" si="44">10*(0.18*Z60+0.17*AA60+0.15*AB60+0.14*AC60+0.1*AD60+0.08*AE60+0.1*AG60+0.08*AH60)</f>
        <v>63.456948000000004</v>
      </c>
      <c r="AJ60" s="19">
        <f t="shared" ref="AJ60:AJ63" si="45">AI60*V60*W60</f>
        <v>62.822378520000001</v>
      </c>
      <c r="AK60" s="20">
        <f t="shared" ref="AK60:AK63" si="46">AJ60*(P60/200)</f>
        <v>3.1097077367400003</v>
      </c>
    </row>
    <row r="61" spans="1:50" x14ac:dyDescent="0.25">
      <c r="A61" t="s">
        <v>118</v>
      </c>
      <c r="B61" s="16">
        <v>0.55900000000000005</v>
      </c>
      <c r="C61" s="16">
        <v>0.5</v>
      </c>
      <c r="D61" s="15">
        <v>0.23400000000000001</v>
      </c>
      <c r="E61" s="15">
        <v>0.379</v>
      </c>
      <c r="F61" s="16">
        <v>6.8000000000000005E-2</v>
      </c>
      <c r="G61" s="16">
        <v>0.158</v>
      </c>
      <c r="H61" s="16">
        <v>0.13500000000000001</v>
      </c>
      <c r="I61" s="23">
        <v>2.1000000000000001E-2</v>
      </c>
      <c r="J61" s="16">
        <v>1.7999999999999999E-2</v>
      </c>
      <c r="K61" s="18">
        <v>0.11799999999999999</v>
      </c>
      <c r="L61" s="16">
        <v>0.23799999999999999</v>
      </c>
      <c r="M61" s="15">
        <v>111.7</v>
      </c>
      <c r="N61" s="15">
        <v>84.3</v>
      </c>
      <c r="O61" s="15">
        <v>0.214</v>
      </c>
      <c r="P61" s="15">
        <v>6.2</v>
      </c>
      <c r="Q61" s="15">
        <v>4</v>
      </c>
      <c r="R61" s="15">
        <v>10.199999999999999</v>
      </c>
      <c r="S61" s="15">
        <v>8</v>
      </c>
      <c r="T61" s="15">
        <v>6.5</v>
      </c>
      <c r="U61" s="15">
        <v>0.2</v>
      </c>
      <c r="V61" s="15">
        <v>0.98</v>
      </c>
      <c r="W61" s="15">
        <v>0.98</v>
      </c>
      <c r="X61" s="19">
        <f t="shared" si="33"/>
        <v>35.405700000000003</v>
      </c>
      <c r="Y61" s="19">
        <f t="shared" si="34"/>
        <v>0.13835600000000003</v>
      </c>
      <c r="Z61" s="19">
        <f t="shared" si="35"/>
        <v>10</v>
      </c>
      <c r="AA61" s="19">
        <f t="shared" si="36"/>
        <v>4.4820000000000011</v>
      </c>
      <c r="AB61" s="19">
        <f t="shared" si="37"/>
        <v>4.9640800000000009</v>
      </c>
      <c r="AC61" s="19">
        <f t="shared" si="38"/>
        <v>2.9455400000000003</v>
      </c>
      <c r="AD61" s="19">
        <f t="shared" si="39"/>
        <v>4.7963000000000005</v>
      </c>
      <c r="AE61" s="19">
        <f t="shared" si="40"/>
        <v>2.4879999999999999E-2</v>
      </c>
      <c r="AF61" s="19">
        <f t="shared" si="41"/>
        <v>5.8426000000000009</v>
      </c>
      <c r="AG61" s="19">
        <f t="shared" si="42"/>
        <v>6.1055600000000005</v>
      </c>
      <c r="AH61" s="19">
        <f t="shared" si="43"/>
        <v>2.1</v>
      </c>
      <c r="AI61" s="19">
        <f t="shared" si="44"/>
        <v>49.791040000000002</v>
      </c>
      <c r="AJ61" s="19">
        <f t="shared" si="45"/>
        <v>47.819314815999995</v>
      </c>
      <c r="AK61" s="20">
        <f t="shared" si="46"/>
        <v>1.4823987592959997</v>
      </c>
    </row>
    <row r="62" spans="1:50" x14ac:dyDescent="0.25">
      <c r="A62" t="s">
        <v>119</v>
      </c>
      <c r="B62" s="16">
        <v>0.5595</v>
      </c>
      <c r="C62" s="16">
        <v>0.54900000000000004</v>
      </c>
      <c r="D62" s="15">
        <v>0.51700000000000002</v>
      </c>
      <c r="E62" s="15">
        <v>0.14599999999999999</v>
      </c>
      <c r="F62" s="16">
        <v>3.5999999999999997E-2</v>
      </c>
      <c r="G62" s="16">
        <v>0.11799999999999999</v>
      </c>
      <c r="H62" s="16">
        <v>0.29099999999999998</v>
      </c>
      <c r="I62" s="23">
        <v>2.8000000000000001E-2</v>
      </c>
      <c r="J62" s="16">
        <v>1.2E-2</v>
      </c>
      <c r="K62" s="18">
        <v>0.22800000000000001</v>
      </c>
      <c r="L62" s="16">
        <v>0.16600000000000001</v>
      </c>
      <c r="M62" s="15">
        <v>116.5</v>
      </c>
      <c r="N62" s="15">
        <v>82.2</v>
      </c>
      <c r="O62" s="15">
        <v>0.17</v>
      </c>
      <c r="P62" s="15">
        <v>8.4</v>
      </c>
      <c r="Q62" s="15">
        <v>7.6</v>
      </c>
      <c r="R62" s="15">
        <v>16</v>
      </c>
      <c r="S62" s="15">
        <v>8</v>
      </c>
      <c r="T62" s="15">
        <v>6.5</v>
      </c>
      <c r="U62" s="15">
        <v>0.2</v>
      </c>
      <c r="V62" s="15">
        <v>1</v>
      </c>
      <c r="W62" s="15">
        <v>0.96</v>
      </c>
      <c r="X62" s="19">
        <f t="shared" si="33"/>
        <v>37.612100000000005</v>
      </c>
      <c r="Y62" s="19">
        <f t="shared" si="34"/>
        <v>0.17919200000000002</v>
      </c>
      <c r="Z62" s="19">
        <f t="shared" si="35"/>
        <v>10</v>
      </c>
      <c r="AA62" s="19">
        <f t="shared" si="36"/>
        <v>5.5150000000000006</v>
      </c>
      <c r="AB62" s="19">
        <f t="shared" si="37"/>
        <v>5.2305600000000005</v>
      </c>
      <c r="AC62" s="19">
        <f t="shared" si="38"/>
        <v>3.2966600000000001</v>
      </c>
      <c r="AD62" s="19">
        <f t="shared" si="39"/>
        <v>5.6216000000000008</v>
      </c>
      <c r="AE62" s="19">
        <f t="shared" si="40"/>
        <v>1.592E-2</v>
      </c>
      <c r="AF62" s="19">
        <f t="shared" si="41"/>
        <v>6.9867999999999997</v>
      </c>
      <c r="AG62" s="19">
        <f t="shared" si="42"/>
        <v>6.7920800000000003</v>
      </c>
      <c r="AH62" s="19">
        <f t="shared" si="43"/>
        <v>2.1</v>
      </c>
      <c r="AI62" s="19">
        <f t="shared" si="44"/>
        <v>53.943080000000016</v>
      </c>
      <c r="AJ62" s="19">
        <f t="shared" si="45"/>
        <v>51.785356800000017</v>
      </c>
      <c r="AK62" s="20">
        <f t="shared" si="46"/>
        <v>2.174984985600001</v>
      </c>
    </row>
    <row r="63" spans="1:50" x14ac:dyDescent="0.25">
      <c r="A63" t="s">
        <v>120</v>
      </c>
      <c r="B63" s="16">
        <v>0.59209999999999996</v>
      </c>
      <c r="C63" s="16">
        <v>0.57299999999999995</v>
      </c>
      <c r="D63" s="15">
        <v>0.68200000000000005</v>
      </c>
      <c r="E63" s="15">
        <v>0.17100000000000001</v>
      </c>
      <c r="F63" s="16">
        <v>1.9E-2</v>
      </c>
      <c r="G63" s="16">
        <v>7.1999999999999995E-2</v>
      </c>
      <c r="H63" s="16">
        <v>7.0999999999999994E-2</v>
      </c>
      <c r="I63" s="23">
        <v>1.4E-2</v>
      </c>
      <c r="J63" s="16">
        <v>7.0000000000000001E-3</v>
      </c>
      <c r="K63" s="18">
        <v>0.105</v>
      </c>
      <c r="L63" s="16">
        <v>0.14799999999999999</v>
      </c>
      <c r="M63" s="15">
        <v>118</v>
      </c>
      <c r="N63" s="15">
        <v>87.2</v>
      </c>
      <c r="O63" s="15">
        <v>0.13</v>
      </c>
      <c r="P63" s="15">
        <v>4.8</v>
      </c>
      <c r="Q63" s="15">
        <v>3.6</v>
      </c>
      <c r="R63" s="15">
        <v>8.4</v>
      </c>
      <c r="S63" s="15">
        <v>8</v>
      </c>
      <c r="T63" s="15">
        <v>5.5</v>
      </c>
      <c r="U63" s="15">
        <v>0.2</v>
      </c>
      <c r="V63" s="15">
        <v>1</v>
      </c>
      <c r="W63" s="15">
        <v>0.95</v>
      </c>
      <c r="X63" s="19">
        <f t="shared" si="33"/>
        <v>38.173400000000001</v>
      </c>
      <c r="Y63" s="19">
        <f t="shared" si="34"/>
        <v>0.12947600000000004</v>
      </c>
      <c r="Z63" s="19">
        <f t="shared" si="35"/>
        <v>9.911999999999999</v>
      </c>
      <c r="AA63" s="19">
        <f t="shared" si="36"/>
        <v>6.6169999999999973</v>
      </c>
      <c r="AB63" s="19">
        <f t="shared" si="37"/>
        <v>3.3476800000000004</v>
      </c>
      <c r="AC63" s="19">
        <f t="shared" si="38"/>
        <v>2.72302</v>
      </c>
      <c r="AD63" s="19">
        <f t="shared" si="39"/>
        <v>4.9793000000000003</v>
      </c>
      <c r="AE63" s="19">
        <f t="shared" si="40"/>
        <v>9.1799999999999989E-3</v>
      </c>
      <c r="AF63" s="19">
        <f t="shared" si="41"/>
        <v>5.6258999999999997</v>
      </c>
      <c r="AG63" s="19">
        <f t="shared" si="42"/>
        <v>5.5755400000000002</v>
      </c>
      <c r="AH63" s="19">
        <f t="shared" si="43"/>
        <v>2.1</v>
      </c>
      <c r="AI63" s="19">
        <f t="shared" si="44"/>
        <v>50.166432</v>
      </c>
      <c r="AJ63" s="19">
        <f t="shared" si="45"/>
        <v>47.658110399999998</v>
      </c>
      <c r="AK63" s="20">
        <f t="shared" si="46"/>
        <v>1.1437946496</v>
      </c>
    </row>
    <row r="64" spans="1:50" x14ac:dyDescent="0.25">
      <c r="A64" t="s">
        <v>121</v>
      </c>
      <c r="B64" s="15">
        <v>516</v>
      </c>
      <c r="C64" s="15">
        <v>77</v>
      </c>
      <c r="D64" s="16">
        <v>0.66379999999999995</v>
      </c>
      <c r="E64" s="16">
        <v>0.63639999999999997</v>
      </c>
      <c r="F64" s="15">
        <v>0.49</v>
      </c>
      <c r="G64" s="15">
        <v>11.91</v>
      </c>
      <c r="H64" s="15">
        <v>8</v>
      </c>
      <c r="I64" s="17">
        <v>48</v>
      </c>
      <c r="J64" s="15">
        <v>14</v>
      </c>
      <c r="K64" s="15">
        <v>0</v>
      </c>
      <c r="L64" s="16">
        <v>0.36359999999999998</v>
      </c>
      <c r="M64" s="16">
        <v>1</v>
      </c>
      <c r="N64" s="16">
        <v>2.9700000000000001E-2</v>
      </c>
      <c r="O64" s="16">
        <v>7.9100000000000004E-2</v>
      </c>
      <c r="P64" s="15">
        <v>17</v>
      </c>
      <c r="Q64" s="15"/>
      <c r="R64" s="15"/>
      <c r="S64" s="15"/>
      <c r="T64" s="15">
        <v>4</v>
      </c>
      <c r="U64" s="15">
        <v>0.2</v>
      </c>
      <c r="V64" s="15">
        <v>1</v>
      </c>
      <c r="W64" s="15"/>
      <c r="X64" s="19">
        <f>IF(B64=0,0,100*(C64+2*H64+3*I64)/B64)</f>
        <v>45.930232558139537</v>
      </c>
      <c r="Y64" s="19">
        <f>IF(C64=0,0,(J64+K64)/C64)</f>
        <v>0.18181818181818182</v>
      </c>
      <c r="Z64" s="19"/>
      <c r="AA64" s="19">
        <f>MAX(0,MIN(10,5+50*(D64-0.55)+25*(E64-F64)))</f>
        <v>10</v>
      </c>
      <c r="AB64" s="19">
        <f>MAX(0,MIN(10,0.2*G64+5*Y64))</f>
        <v>3.2910909090909093</v>
      </c>
      <c r="AC64" s="19">
        <f t="shared" ref="AC64:AC70" si="47">MAX(0,MIN(10,X64/4))</f>
        <v>10</v>
      </c>
      <c r="AD64" s="19">
        <f>MAX(0,MIN(10,2+0.15*G64+4*Y64-0.03*((L64+M64)/2)))</f>
        <v>4.4933187272727277</v>
      </c>
      <c r="AE64" s="19">
        <f>MAX(0,MIN(10,0.15*N64+0.08*O64))</f>
        <v>1.0783000000000001E-2</v>
      </c>
      <c r="AF64" s="19"/>
      <c r="AG64" s="19"/>
      <c r="AH64" s="19">
        <f>MAX(0,MIN(10,P64/3.2-2*U64))</f>
        <v>4.9124999999999996</v>
      </c>
      <c r="AI64" s="19">
        <f>10*(0.22*AA64+0.2*AB64+0.18*AC64+0.12*AD64+0.1*AE64+0.13*T64+0.05*AH64)</f>
        <v>59.641197290909091</v>
      </c>
      <c r="AJ64" s="19">
        <f>AI64*V64</f>
        <v>59.641197290909091</v>
      </c>
      <c r="AK64" s="20">
        <f>AJ64*(P64/200)</f>
        <v>5.0695017697272728</v>
      </c>
    </row>
    <row r="65" spans="1:50" x14ac:dyDescent="0.25">
      <c r="A65" t="s">
        <v>122</v>
      </c>
      <c r="B65" s="16">
        <v>0.54530000000000001</v>
      </c>
      <c r="C65" s="16">
        <v>0.50280000000000002</v>
      </c>
      <c r="D65" s="15">
        <v>0.38100000000000001</v>
      </c>
      <c r="E65" s="15">
        <v>0.25700000000000001</v>
      </c>
      <c r="F65" s="16">
        <v>6.2E-2</v>
      </c>
      <c r="G65" s="16">
        <v>0.13900000000000001</v>
      </c>
      <c r="H65" s="16">
        <v>0.26900000000000002</v>
      </c>
      <c r="I65" s="23">
        <v>4.4999999999999998E-2</v>
      </c>
      <c r="J65" s="16">
        <v>1.2E-2</v>
      </c>
      <c r="K65" s="18">
        <v>9.8000000000000004E-2</v>
      </c>
      <c r="L65" s="16">
        <v>0.35199999999999998</v>
      </c>
      <c r="M65" s="15">
        <v>117.6</v>
      </c>
      <c r="N65" s="15">
        <v>75.599999999999994</v>
      </c>
      <c r="O65" s="15">
        <v>0.28000000000000003</v>
      </c>
      <c r="P65" s="15">
        <v>11.5</v>
      </c>
      <c r="Q65" s="15">
        <v>5.5</v>
      </c>
      <c r="R65" s="15">
        <v>16.899999999999999</v>
      </c>
      <c r="S65" s="15">
        <v>13</v>
      </c>
      <c r="T65" s="15">
        <v>8</v>
      </c>
      <c r="U65" s="15">
        <v>0.2</v>
      </c>
      <c r="V65" s="15">
        <v>1</v>
      </c>
      <c r="W65" s="15">
        <v>0.93</v>
      </c>
      <c r="X65" s="19">
        <f>MAX(0,MIN(100,0.45*M65+0.6*H65+0.35*L65-0.2*K65-15))</f>
        <v>38.185000000000002</v>
      </c>
      <c r="Y65" s="19">
        <f>MAX(0,MIN(1,0.012*L65+0.025*P65+0.3*E65+0.2*D65-0.18))</f>
        <v>0.26502400000000004</v>
      </c>
      <c r="Z65" s="19">
        <f>MAX(0,MIN(10,1+0.45*R65+30*O65+0.04*(M65-N65)))</f>
        <v>10</v>
      </c>
      <c r="AA65" s="19">
        <f>MAX(0,MIN(10,3+20*(B65-0.52)+15*(C65-0.5)+0.06*(M65-100)))</f>
        <v>4.6039999999999992</v>
      </c>
      <c r="AB65" s="19">
        <f>MAX(0,MIN(10,0.16*L65+0.55*P65+4*E65))</f>
        <v>7.409320000000001</v>
      </c>
      <c r="AC65" s="19">
        <f>MAX(0,MIN(10,2+0.22*H65-0.12*K65+0.15*P65))</f>
        <v>3.7724199999999994</v>
      </c>
      <c r="AD65" s="19">
        <f>MAX(0,MIN(10,2+0.28*P65+0.1*L65+2*D65+1.5*E65))</f>
        <v>6.4027000000000012</v>
      </c>
      <c r="AE65" s="19">
        <f>MAX(0,MIN(10,0.18*F65+0.08*G65))</f>
        <v>2.2280000000000001E-2</v>
      </c>
      <c r="AF65" s="19">
        <f>MAX(0,MIN(10,4+0.3*Q65+0.6*I65+0.5*J65+0.03*(105-N65)))</f>
        <v>6.5650000000000013</v>
      </c>
      <c r="AG65" s="19">
        <f>0.6*AF65+0.4*T65</f>
        <v>7.1390000000000011</v>
      </c>
      <c r="AH65" s="19">
        <f>MAX(0,MIN(10,S65/3.2-2*U65))</f>
        <v>3.6625000000000001</v>
      </c>
      <c r="AI65" s="19">
        <f>10*(0.18*Z65+0.17*AA65+0.15*AB65+0.14*AC65+0.1*AD65+0.08*AE65+0.1*AG65+0.08*AH65)</f>
        <v>58.711691999999999</v>
      </c>
      <c r="AJ65" s="19">
        <f>AI65*V65*W65</f>
        <v>54.601873560000001</v>
      </c>
      <c r="AK65" s="20">
        <f>AJ65*(P65/200)</f>
        <v>3.1396077297000002</v>
      </c>
    </row>
    <row r="66" spans="1:50" x14ac:dyDescent="0.25">
      <c r="A66" t="s">
        <v>123</v>
      </c>
      <c r="B66" s="16">
        <v>0.60950000000000004</v>
      </c>
      <c r="C66" s="16">
        <v>0.56069999999999998</v>
      </c>
      <c r="D66" s="15">
        <v>0.50700000000000001</v>
      </c>
      <c r="E66" s="15">
        <v>0.34599999999999997</v>
      </c>
      <c r="F66" s="16">
        <v>6.6000000000000003E-2</v>
      </c>
      <c r="G66" s="16">
        <v>0.16</v>
      </c>
      <c r="H66" s="16">
        <v>4.3999999999999997E-2</v>
      </c>
      <c r="I66" s="23">
        <v>0.01</v>
      </c>
      <c r="J66" s="16">
        <v>1.7999999999999999E-2</v>
      </c>
      <c r="K66" s="18">
        <v>7.2999999999999995E-2</v>
      </c>
      <c r="L66" s="16">
        <v>0.14499999999999999</v>
      </c>
      <c r="M66" s="15">
        <v>129.5</v>
      </c>
      <c r="N66" s="15">
        <v>90.4</v>
      </c>
      <c r="O66" s="15">
        <v>0.15</v>
      </c>
      <c r="P66" s="15">
        <v>7.5</v>
      </c>
      <c r="Q66" s="15">
        <v>3.7</v>
      </c>
      <c r="R66" s="15">
        <v>11.2</v>
      </c>
      <c r="S66" s="15">
        <v>8</v>
      </c>
      <c r="T66" s="15">
        <v>5</v>
      </c>
      <c r="U66" s="15">
        <v>0.2</v>
      </c>
      <c r="V66" s="15">
        <v>1</v>
      </c>
      <c r="W66" s="15">
        <v>0.95</v>
      </c>
      <c r="X66" s="19">
        <f>MAX(0,MIN(100,0.45*M66+0.6*H66+0.35*L66-0.2*K66-15))</f>
        <v>43.33755</v>
      </c>
      <c r="Y66" s="19">
        <f>MAX(0,MIN(1,0.012*L66+0.025*P66+0.3*E66+0.2*D66-0.18))</f>
        <v>0.21443999999999996</v>
      </c>
      <c r="Z66" s="19">
        <f>MAX(0,MIN(10,1+0.45*R66+30*O66+0.04*(M66-N66)))</f>
        <v>10</v>
      </c>
      <c r="AA66" s="19">
        <f>MAX(0,MIN(10,3+20*(B66-0.52)+15*(C66-0.5)+0.06*(M66-100)))</f>
        <v>7.4705000000000013</v>
      </c>
      <c r="AB66" s="19">
        <f>MAX(0,MIN(10,0.16*L66+0.55*P66+4*E66))</f>
        <v>5.5321999999999996</v>
      </c>
      <c r="AC66" s="19">
        <f>MAX(0,MIN(10,2+0.22*H66-0.12*K66+0.15*P66))</f>
        <v>3.1259199999999998</v>
      </c>
      <c r="AD66" s="19">
        <f>MAX(0,MIN(10,2+0.28*P66+0.1*L66+2*D66+1.5*E66))</f>
        <v>5.6475</v>
      </c>
      <c r="AE66" s="19">
        <f>MAX(0,MIN(10,0.18*F66+0.08*G66))</f>
        <v>2.4680000000000001E-2</v>
      </c>
      <c r="AF66" s="19">
        <f>MAX(0,MIN(10,4+0.3*Q66+0.6*I66+0.5*J66+0.03*(105-N66)))</f>
        <v>5.5630000000000006</v>
      </c>
      <c r="AG66" s="19">
        <f>0.6*AF66+0.4*T66</f>
        <v>5.3377999999999997</v>
      </c>
      <c r="AH66" s="19">
        <f>MAX(0,MIN(10,S66/3.2-2*U66))</f>
        <v>2.1</v>
      </c>
      <c r="AI66" s="19">
        <f>10*(0.18*Z66+0.17*AA66+0.15*AB66+0.14*AC66+0.1*AD66+0.08*AE66+0.1*AG66+0.08*AH66)</f>
        <v>56.059482000000003</v>
      </c>
      <c r="AJ66" s="19">
        <f>AI66*V66*W66</f>
        <v>53.256507900000003</v>
      </c>
      <c r="AK66" s="20">
        <f>AJ66*(P66/200)</f>
        <v>1.9971190462499999</v>
      </c>
    </row>
    <row r="67" spans="1:50" x14ac:dyDescent="0.25">
      <c r="A67" t="s">
        <v>124</v>
      </c>
      <c r="B67" s="15">
        <v>1539</v>
      </c>
      <c r="C67" s="15">
        <v>291</v>
      </c>
      <c r="D67" s="16">
        <v>0.60119999999999996</v>
      </c>
      <c r="E67" s="16">
        <v>0.57340000000000002</v>
      </c>
      <c r="F67" s="15">
        <v>0.53</v>
      </c>
      <c r="G67" s="15">
        <v>16.09</v>
      </c>
      <c r="H67" s="15">
        <v>84</v>
      </c>
      <c r="I67" s="17">
        <v>135</v>
      </c>
      <c r="J67" s="15">
        <v>28</v>
      </c>
      <c r="K67" s="15">
        <v>3</v>
      </c>
      <c r="L67" s="16">
        <v>0.75</v>
      </c>
      <c r="M67" s="18">
        <v>0.97829999999999995</v>
      </c>
      <c r="N67" s="16">
        <v>3.1099999999999999E-2</v>
      </c>
      <c r="O67" s="16">
        <v>7.6700000000000004E-2</v>
      </c>
      <c r="P67" s="15">
        <v>21</v>
      </c>
      <c r="Q67" s="15"/>
      <c r="R67" s="15"/>
      <c r="S67" s="15"/>
      <c r="T67" s="15">
        <v>4</v>
      </c>
      <c r="U67" s="15">
        <v>0.2</v>
      </c>
      <c r="V67" s="15">
        <v>1</v>
      </c>
      <c r="W67" s="15"/>
      <c r="X67" s="19">
        <f>IF(B67=0,0,100*(C67+2*H67+3*I67)/B67)</f>
        <v>56.140350877192979</v>
      </c>
      <c r="Y67" s="19">
        <f>IF(C67=0,0,(J67+K67)/C67)</f>
        <v>0.10652920962199312</v>
      </c>
      <c r="Z67" s="19"/>
      <c r="AA67" s="19">
        <f>MAX(0,MIN(10,5+50*(D67-0.55)+25*(E67-F67)))</f>
        <v>8.644999999999996</v>
      </c>
      <c r="AB67" s="19">
        <f>MAX(0,MIN(10,0.2*G67+5*Y67))</f>
        <v>3.7506460481099655</v>
      </c>
      <c r="AC67" s="19">
        <f t="shared" si="32"/>
        <v>10</v>
      </c>
      <c r="AD67" s="19">
        <f>MAX(0,MIN(10,2+0.15*G67+4*Y67-0.03*((L67+M67)/2)))</f>
        <v>4.8136923384879724</v>
      </c>
      <c r="AE67" s="19">
        <f>MAX(0,MIN(10,0.15*N67+0.08*O67))</f>
        <v>1.0801000000000002E-2</v>
      </c>
      <c r="AF67" s="19"/>
      <c r="AG67" s="19"/>
      <c r="AH67" s="19">
        <f>MAX(0,MIN(10,P67/3.2-2*U67))</f>
        <v>6.1624999999999996</v>
      </c>
      <c r="AI67" s="19">
        <f>10*(0.22*AA67+0.2*AB67+0.18*AC67+0.12*AD67+0.1*AE67+0.13*T67+0.05*AH67)</f>
        <v>58.588773902405492</v>
      </c>
      <c r="AJ67" s="19">
        <f>AI67*V67</f>
        <v>58.588773902405492</v>
      </c>
      <c r="AK67" s="20">
        <f>AJ67*(P67/200)</f>
        <v>6.1518212597525768</v>
      </c>
    </row>
    <row r="68" spans="1:50" x14ac:dyDescent="0.25">
      <c r="A68" t="s">
        <v>125</v>
      </c>
      <c r="B68" s="15">
        <v>1291</v>
      </c>
      <c r="C68" s="15">
        <v>259</v>
      </c>
      <c r="D68" s="16">
        <v>0.5464</v>
      </c>
      <c r="E68" s="16">
        <v>0.51149999999999995</v>
      </c>
      <c r="F68" s="15">
        <v>0.5</v>
      </c>
      <c r="G68" s="15">
        <v>19.11</v>
      </c>
      <c r="H68" s="15">
        <v>52</v>
      </c>
      <c r="I68" s="17">
        <v>42</v>
      </c>
      <c r="J68" s="15">
        <v>126</v>
      </c>
      <c r="K68" s="15">
        <v>3</v>
      </c>
      <c r="L68" s="16">
        <v>0.29210000000000003</v>
      </c>
      <c r="M68" s="16">
        <v>0.93330000000000002</v>
      </c>
      <c r="N68" s="16">
        <v>2.76E-2</v>
      </c>
      <c r="O68" s="16">
        <v>7.6899999999999996E-2</v>
      </c>
      <c r="P68" s="15">
        <v>26</v>
      </c>
      <c r="Q68" s="15"/>
      <c r="R68" s="15"/>
      <c r="S68" s="15"/>
      <c r="T68" s="15">
        <v>5</v>
      </c>
      <c r="U68" s="15">
        <v>0.3</v>
      </c>
      <c r="V68" s="15">
        <v>1</v>
      </c>
      <c r="W68" s="15"/>
      <c r="X68" s="19">
        <f>IF(B68=0,0,100*(C68+2*H68+3*I68)/B68)</f>
        <v>37.877614252517425</v>
      </c>
      <c r="Y68" s="19">
        <f>IF(C68=0,0,(J68+K68)/C68)</f>
        <v>0.49806949806949807</v>
      </c>
      <c r="Z68" s="19"/>
      <c r="AA68" s="19">
        <f>MAX(0,MIN(10,5+50*(D68-0.55)+25*(E68-F68)))</f>
        <v>5.1074999999999964</v>
      </c>
      <c r="AB68" s="19">
        <f>MAX(0,MIN(10,0.2*G68+5*Y68))</f>
        <v>6.3123474903474905</v>
      </c>
      <c r="AC68" s="19">
        <f t="shared" si="32"/>
        <v>9.4694035631293563</v>
      </c>
      <c r="AD68" s="19">
        <f>MAX(0,MIN(10,2+0.15*G68+4*Y68-0.03*((L68+M68)/2)))</f>
        <v>6.8403969922779932</v>
      </c>
      <c r="AE68" s="19">
        <f>MAX(0,MIN(10,0.15*N68+0.08*O68))</f>
        <v>1.0291999999999999E-2</v>
      </c>
      <c r="AF68" s="19"/>
      <c r="AG68" s="19"/>
      <c r="AH68" s="19">
        <f>MAX(0,MIN(10,P68/3.2-2*U68))</f>
        <v>7.5250000000000004</v>
      </c>
      <c r="AI68" s="19">
        <f>10*(0.22*AA68+0.2*AB68+0.18*AC68+0.12*AD68+0.1*AE68+0.13*T68+0.05*AH68)</f>
        <v>59.387389785061409</v>
      </c>
      <c r="AJ68" s="19">
        <f>AI68*V68</f>
        <v>59.387389785061409</v>
      </c>
      <c r="AK68" s="20">
        <f>AJ68*(P68/200)</f>
        <v>7.7203606720579829</v>
      </c>
    </row>
    <row r="69" spans="1:50" s="32" customFormat="1" x14ac:dyDescent="0.25">
      <c r="A69" s="31" t="s">
        <v>126</v>
      </c>
      <c r="I69" s="33"/>
      <c r="AK69" s="24">
        <f>SUM(AK51:AK68)</f>
        <v>71.743851059500599</v>
      </c>
      <c r="AL69" s="3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s="6" customFormat="1" x14ac:dyDescent="0.25">
      <c r="A70" s="5"/>
      <c r="B70" s="4" t="s">
        <v>3</v>
      </c>
      <c r="C70" s="4" t="s">
        <v>4</v>
      </c>
      <c r="D70" s="4" t="s">
        <v>5</v>
      </c>
      <c r="E70" s="4" t="s">
        <v>6</v>
      </c>
      <c r="F70" s="4" t="s">
        <v>7</v>
      </c>
      <c r="G70" s="4" t="s">
        <v>8</v>
      </c>
      <c r="H70" s="4" t="s">
        <v>9</v>
      </c>
      <c r="I70" s="9" t="s">
        <v>10</v>
      </c>
      <c r="J70" s="4" t="s">
        <v>11</v>
      </c>
      <c r="K70" s="4" t="s">
        <v>12</v>
      </c>
      <c r="L70" s="4" t="s">
        <v>13</v>
      </c>
      <c r="M70" s="4" t="s">
        <v>14</v>
      </c>
      <c r="N70" s="4" t="s">
        <v>15</v>
      </c>
      <c r="O70" s="4" t="s">
        <v>16</v>
      </c>
      <c r="P70" s="4" t="s">
        <v>17</v>
      </c>
      <c r="Q70" s="4" t="s">
        <v>18</v>
      </c>
      <c r="R70" s="4" t="s">
        <v>19</v>
      </c>
      <c r="S70" s="4" t="s">
        <v>20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3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25" t="s">
        <v>127</v>
      </c>
      <c r="B71" s="11" t="s">
        <v>22</v>
      </c>
      <c r="C71" s="11" t="s">
        <v>23</v>
      </c>
      <c r="D71" s="11" t="s">
        <v>3</v>
      </c>
      <c r="E71" s="11" t="s">
        <v>4</v>
      </c>
      <c r="F71" s="11" t="s">
        <v>24</v>
      </c>
      <c r="G71" s="11" t="s">
        <v>25</v>
      </c>
      <c r="H71" s="11" t="s">
        <v>26</v>
      </c>
      <c r="I71" s="12" t="s">
        <v>27</v>
      </c>
      <c r="J71" s="11" t="s">
        <v>28</v>
      </c>
      <c r="K71" s="11" t="s">
        <v>29</v>
      </c>
      <c r="L71" s="11" t="s">
        <v>30</v>
      </c>
      <c r="M71" s="11" t="s">
        <v>31</v>
      </c>
      <c r="N71" s="11" t="s">
        <v>32</v>
      </c>
      <c r="O71" s="11" t="s">
        <v>33</v>
      </c>
      <c r="P71" s="11" t="s">
        <v>20</v>
      </c>
      <c r="Q71" s="11"/>
      <c r="R71" s="11"/>
      <c r="S71" s="11"/>
      <c r="T71" s="11" t="s">
        <v>34</v>
      </c>
      <c r="U71" s="11" t="s">
        <v>35</v>
      </c>
      <c r="V71" s="11" t="s">
        <v>36</v>
      </c>
      <c r="W71" s="11" t="s">
        <v>37</v>
      </c>
      <c r="X71" s="11" t="s">
        <v>38</v>
      </c>
      <c r="Y71" s="11" t="s">
        <v>39</v>
      </c>
      <c r="Z71" s="11" t="s">
        <v>40</v>
      </c>
      <c r="AA71" s="11" t="s">
        <v>41</v>
      </c>
      <c r="AB71" s="11" t="s">
        <v>42</v>
      </c>
      <c r="AC71" s="11" t="s">
        <v>43</v>
      </c>
      <c r="AD71" s="11" t="s">
        <v>44</v>
      </c>
      <c r="AE71" s="11" t="s">
        <v>45</v>
      </c>
      <c r="AF71" s="11" t="s">
        <v>46</v>
      </c>
      <c r="AG71" s="11" t="s">
        <v>47</v>
      </c>
      <c r="AH71" s="11" t="s">
        <v>48</v>
      </c>
      <c r="AI71" s="11" t="s">
        <v>49</v>
      </c>
      <c r="AJ71" s="11" t="s">
        <v>50</v>
      </c>
      <c r="AK71" s="13" t="s">
        <v>51</v>
      </c>
    </row>
    <row r="72" spans="1:50" x14ac:dyDescent="0.25">
      <c r="A72" t="s">
        <v>128</v>
      </c>
      <c r="B72" s="15">
        <v>2741</v>
      </c>
      <c r="C72" s="15">
        <v>890</v>
      </c>
      <c r="D72" s="16">
        <v>0.57130000000000003</v>
      </c>
      <c r="E72" s="16">
        <v>0.53620000000000001</v>
      </c>
      <c r="F72" s="15">
        <v>0.52</v>
      </c>
      <c r="G72" s="15">
        <v>26.96</v>
      </c>
      <c r="H72" s="15">
        <v>222</v>
      </c>
      <c r="I72" s="17">
        <v>261</v>
      </c>
      <c r="J72" s="15">
        <v>186</v>
      </c>
      <c r="K72" s="15">
        <v>72</v>
      </c>
      <c r="L72" s="16">
        <v>0.54410000000000003</v>
      </c>
      <c r="M72" s="16">
        <v>0.78380000000000005</v>
      </c>
      <c r="N72" s="16">
        <v>1.43E-2</v>
      </c>
      <c r="O72" s="16">
        <v>4.7500000000000001E-2</v>
      </c>
      <c r="P72" s="15">
        <v>34</v>
      </c>
      <c r="Q72" s="15"/>
      <c r="R72" s="15"/>
      <c r="S72" s="15"/>
      <c r="T72" s="15">
        <v>4</v>
      </c>
      <c r="U72" s="15">
        <v>0.3</v>
      </c>
      <c r="V72" s="15">
        <v>1.05</v>
      </c>
      <c r="W72" s="15"/>
      <c r="X72" s="19">
        <f>IF(B72=0,0,100*(C72+2*H72+3*I72)/B72)</f>
        <v>77.234585917548344</v>
      </c>
      <c r="Y72" s="19">
        <f>IF(C72=0,0,(J72+K72)/C72)</f>
        <v>0.28988764044943821</v>
      </c>
      <c r="Z72" s="19"/>
      <c r="AA72" s="19">
        <f>MAX(0,MIN(10,5+50*(D72-0.55)+25*(E72-F72)))</f>
        <v>6.4699999999999989</v>
      </c>
      <c r="AB72" s="19">
        <f>MAX(0,MIN(10,0.2*G72+5*Y72))</f>
        <v>6.8414382022471916</v>
      </c>
      <c r="AC72" s="19">
        <f t="shared" ref="AC72:AC86" si="48">MAX(0,MIN(10,X72/4))</f>
        <v>10</v>
      </c>
      <c r="AD72" s="19">
        <f>MAX(0,MIN(10,2+0.15*G72+4*Y72-0.03*((L72+M72)/2)))</f>
        <v>7.183632061797752</v>
      </c>
      <c r="AE72" s="19">
        <f>MAX(0,MIN(10,0.15*N72+0.08*O72))</f>
        <v>5.9449999999999998E-3</v>
      </c>
      <c r="AF72" s="19"/>
      <c r="AG72" s="19"/>
      <c r="AH72" s="19">
        <f>MAX(0,MIN(10,P72/3.2-2*U72))</f>
        <v>10</v>
      </c>
      <c r="AI72" s="19">
        <f>10*(0.22*AA72+0.2*AB72+0.18*AC72+0.12*AD72+0.1*AE72+0.13*T72+0.05*AH72)</f>
        <v>64.743179878651688</v>
      </c>
      <c r="AJ72" s="19">
        <f>AI72*V72</f>
        <v>67.980338872584269</v>
      </c>
      <c r="AK72" s="20">
        <f>AJ72*(P72/200)</f>
        <v>11.556657608339327</v>
      </c>
    </row>
    <row r="73" spans="1:50" x14ac:dyDescent="0.25">
      <c r="A73" t="s">
        <v>129</v>
      </c>
      <c r="B73" s="15">
        <v>2597</v>
      </c>
      <c r="C73" s="15">
        <v>660</v>
      </c>
      <c r="D73" s="16">
        <v>0.57789999999999997</v>
      </c>
      <c r="E73" s="16">
        <v>0.54369999999999996</v>
      </c>
      <c r="F73" s="15">
        <v>0.5</v>
      </c>
      <c r="G73" s="15">
        <v>21.99</v>
      </c>
      <c r="H73" s="15">
        <v>362</v>
      </c>
      <c r="I73" s="17">
        <v>18</v>
      </c>
      <c r="J73" s="15">
        <v>168</v>
      </c>
      <c r="K73" s="15">
        <v>0</v>
      </c>
      <c r="L73" s="16">
        <v>0.68300000000000005</v>
      </c>
      <c r="M73" s="18">
        <v>1</v>
      </c>
      <c r="N73" s="16">
        <v>8.8300000000000003E-2</v>
      </c>
      <c r="O73" s="16">
        <v>0.20150000000000001</v>
      </c>
      <c r="P73" s="15">
        <v>33</v>
      </c>
      <c r="Q73" s="15"/>
      <c r="R73" s="15"/>
      <c r="S73" s="15"/>
      <c r="T73" s="15">
        <v>9</v>
      </c>
      <c r="U73" s="15">
        <v>0.4</v>
      </c>
      <c r="V73" s="15">
        <v>1.05</v>
      </c>
      <c r="W73" s="15"/>
      <c r="X73" s="19">
        <f>IF(B73=0,0,100*(C73+2*H73+3*I73)/B73)</f>
        <v>55.371582595302272</v>
      </c>
      <c r="Y73" s="19">
        <f>IF(C73=0,0,(J73+K73)/C73)</f>
        <v>0.25454545454545452</v>
      </c>
      <c r="Z73" s="19"/>
      <c r="AA73" s="19">
        <f>MAX(0,MIN(10,5+50*(D73-0.55)+25*(E73-F73)))</f>
        <v>7.4874999999999954</v>
      </c>
      <c r="AB73" s="19">
        <f>MAX(0,MIN(10,0.2*G73+5*Y73))</f>
        <v>5.6707272727272722</v>
      </c>
      <c r="AC73" s="19">
        <f t="shared" si="48"/>
        <v>10</v>
      </c>
      <c r="AD73" s="19">
        <f>MAX(0,MIN(10,2+0.15*G73+4*Y73-0.03*((L73+M73)/2)))</f>
        <v>6.2914368181818183</v>
      </c>
      <c r="AE73" s="19">
        <f>MAX(0,MIN(10,0.15*N73+0.08*O73))</f>
        <v>2.9365000000000002E-2</v>
      </c>
      <c r="AF73" s="19"/>
      <c r="AG73" s="19"/>
      <c r="AH73" s="19">
        <f>MAX(0,MIN(10,P73/3.2-2*U73))</f>
        <v>9.5124999999999993</v>
      </c>
      <c r="AI73" s="19">
        <f>10*(0.22*AA73+0.2*AB73+0.18*AC73+0.12*AD73+0.1*AE73+0.13*T73+0.05*AH73)</f>
        <v>69.849293727272709</v>
      </c>
      <c r="AJ73" s="19">
        <f>AI73*V73</f>
        <v>73.341758413636342</v>
      </c>
      <c r="AK73" s="20">
        <f>AJ73*(P73/200)</f>
        <v>12.101390138249997</v>
      </c>
    </row>
    <row r="74" spans="1:50" x14ac:dyDescent="0.25">
      <c r="A74" t="s">
        <v>130</v>
      </c>
      <c r="B74" s="15">
        <v>2325</v>
      </c>
      <c r="C74" s="15">
        <v>317</v>
      </c>
      <c r="D74" s="16">
        <v>0.50480000000000003</v>
      </c>
      <c r="E74" s="16">
        <v>0.48659999999999998</v>
      </c>
      <c r="F74" s="15">
        <v>0.51</v>
      </c>
      <c r="G74" s="15">
        <v>13.26</v>
      </c>
      <c r="H74" s="15">
        <v>78</v>
      </c>
      <c r="I74" s="17">
        <v>153</v>
      </c>
      <c r="J74" s="15">
        <v>48</v>
      </c>
      <c r="K74" s="15">
        <v>12</v>
      </c>
      <c r="L74" s="16">
        <v>0.61899999999999999</v>
      </c>
      <c r="M74" s="16">
        <v>0.92730000000000001</v>
      </c>
      <c r="N74" s="16">
        <v>5.6800000000000003E-2</v>
      </c>
      <c r="O74" s="16">
        <v>0.1036</v>
      </c>
      <c r="P74" s="15">
        <v>27</v>
      </c>
      <c r="Q74" s="15"/>
      <c r="R74" s="15"/>
      <c r="S74" s="15"/>
      <c r="T74" s="15">
        <v>6.5</v>
      </c>
      <c r="U74" s="15">
        <v>0.4</v>
      </c>
      <c r="V74" s="15">
        <v>1</v>
      </c>
      <c r="W74" s="15"/>
      <c r="X74" s="19">
        <f>IF(B74=0,0,100*(C74+2*H74+3*I74)/B74)</f>
        <v>40.086021505376344</v>
      </c>
      <c r="Y74" s="19">
        <f>IF(C74=0,0,(J74+K74)/C74)</f>
        <v>0.1892744479495268</v>
      </c>
      <c r="Z74" s="19"/>
      <c r="AA74" s="19">
        <f>MAX(0,MIN(10,5+50*(D74-0.55)+25*(E74-F74)))</f>
        <v>2.1549999999999985</v>
      </c>
      <c r="AB74" s="19">
        <f>MAX(0,MIN(10,0.2*G74+5*Y74))</f>
        <v>3.5983722397476341</v>
      </c>
      <c r="AC74" s="19">
        <f t="shared" si="48"/>
        <v>10</v>
      </c>
      <c r="AD74" s="19">
        <f>MAX(0,MIN(10,2+0.15*G74+4*Y74-0.03*((L74+M74)/2)))</f>
        <v>4.7229032917981071</v>
      </c>
      <c r="AE74" s="19">
        <f>MAX(0,MIN(10,0.15*N74+0.08*O74))</f>
        <v>1.6808E-2</v>
      </c>
      <c r="AF74" s="19"/>
      <c r="AG74" s="19"/>
      <c r="AH74" s="19">
        <f>MAX(0,MIN(10,P74/3.2-2*U74))</f>
        <v>7.6375000000000002</v>
      </c>
      <c r="AI74" s="19">
        <f>10*(0.22*AA74+0.2*AB74+0.18*AC74+0.12*AD74+0.1*AE74+0.13*T74+0.05*AH74)</f>
        <v>47.890786429652991</v>
      </c>
      <c r="AJ74" s="19">
        <f>AI74*V74</f>
        <v>47.890786429652991</v>
      </c>
      <c r="AK74" s="20">
        <f>AJ74*(P74/200)</f>
        <v>6.4652561680031546</v>
      </c>
    </row>
    <row r="75" spans="1:50" x14ac:dyDescent="0.25">
      <c r="A75" t="s">
        <v>131</v>
      </c>
      <c r="B75" s="15">
        <v>418</v>
      </c>
      <c r="C75" s="15">
        <v>82</v>
      </c>
      <c r="D75" s="16">
        <v>0.5857</v>
      </c>
      <c r="E75" s="16">
        <v>0.56140000000000001</v>
      </c>
      <c r="F75" s="15">
        <v>0.54</v>
      </c>
      <c r="G75" s="15">
        <v>15.98</v>
      </c>
      <c r="H75" s="15">
        <v>58</v>
      </c>
      <c r="I75" s="17">
        <v>0</v>
      </c>
      <c r="J75" s="15">
        <v>16</v>
      </c>
      <c r="K75" s="15">
        <v>0</v>
      </c>
      <c r="L75" s="18">
        <v>0.75</v>
      </c>
      <c r="M75" s="18">
        <v>0</v>
      </c>
      <c r="N75" s="16">
        <v>7.8399999999999997E-2</v>
      </c>
      <c r="O75" s="16">
        <v>0.1966</v>
      </c>
      <c r="P75" s="15">
        <v>8</v>
      </c>
      <c r="Q75" s="15"/>
      <c r="R75" s="15"/>
      <c r="S75" s="15"/>
      <c r="T75" s="15">
        <v>8</v>
      </c>
      <c r="U75" s="15">
        <v>0.3</v>
      </c>
      <c r="V75" s="15">
        <v>1</v>
      </c>
      <c r="W75" s="15"/>
      <c r="X75" s="19">
        <f>IF(B75=0,0,100*(C75+2*H75+3*I75)/B75)</f>
        <v>47.368421052631582</v>
      </c>
      <c r="Y75" s="19">
        <f>IF(C75=0,0,(J75+K75)/C75)</f>
        <v>0.1951219512195122</v>
      </c>
      <c r="Z75" s="19"/>
      <c r="AA75" s="19">
        <f>MAX(0,MIN(10,5+50*(D75-0.55)+25*(E75-F75)))</f>
        <v>7.3199999999999967</v>
      </c>
      <c r="AB75" s="19">
        <f>MAX(0,MIN(10,0.2*G75+5*Y75))</f>
        <v>4.1716097560975616</v>
      </c>
      <c r="AC75" s="19">
        <f t="shared" si="48"/>
        <v>10</v>
      </c>
      <c r="AD75" s="19">
        <f>MAX(0,MIN(10,2+0.15*G75+4*Y75-0.03*((L75+M75)/2)))</f>
        <v>5.1662378048780484</v>
      </c>
      <c r="AE75" s="19">
        <f>MAX(0,MIN(10,0.15*N75+0.08*O75))</f>
        <v>2.7487999999999999E-2</v>
      </c>
      <c r="AF75" s="19"/>
      <c r="AG75" s="19"/>
      <c r="AH75" s="19">
        <f>MAX(0,MIN(10,P75/3.2-2*U75))</f>
        <v>1.9</v>
      </c>
      <c r="AI75" s="19">
        <f>10*(0.22*AA75+0.2*AB75+0.18*AC75+0.12*AD75+0.1*AE75+0.13*T75+0.05*AH75)</f>
        <v>60.024192878048765</v>
      </c>
      <c r="AJ75" s="19">
        <f>AI75*V75</f>
        <v>60.024192878048765</v>
      </c>
      <c r="AK75" s="20">
        <f>AJ75*(P75/200)</f>
        <v>2.4009677151219506</v>
      </c>
    </row>
    <row r="76" spans="1:50" x14ac:dyDescent="0.25">
      <c r="A76" t="s">
        <v>132</v>
      </c>
      <c r="B76" s="16">
        <v>0.54630000000000001</v>
      </c>
      <c r="C76" s="16">
        <v>0.53300000000000003</v>
      </c>
      <c r="D76" s="15">
        <v>0.03</v>
      </c>
      <c r="E76" s="15">
        <v>0.17</v>
      </c>
      <c r="F76" s="16">
        <v>0.128</v>
      </c>
      <c r="G76" s="16">
        <v>0.27900000000000003</v>
      </c>
      <c r="H76" s="16">
        <v>0.16200000000000001</v>
      </c>
      <c r="I76" s="23">
        <v>2.3E-2</v>
      </c>
      <c r="J76" s="16">
        <v>1.7999999999999999E-2</v>
      </c>
      <c r="K76" s="18">
        <v>0.13</v>
      </c>
      <c r="L76" s="16">
        <v>0.26900000000000002</v>
      </c>
      <c r="M76" s="15">
        <v>111.9</v>
      </c>
      <c r="N76" s="15">
        <v>76.3</v>
      </c>
      <c r="O76" s="15">
        <v>0.22</v>
      </c>
      <c r="P76" s="15">
        <v>7.7</v>
      </c>
      <c r="Q76" s="15">
        <v>5.8</v>
      </c>
      <c r="R76" s="15">
        <v>13.5</v>
      </c>
      <c r="S76" s="15">
        <v>14</v>
      </c>
      <c r="T76" s="15"/>
      <c r="U76" s="15"/>
      <c r="V76" s="15">
        <v>1</v>
      </c>
      <c r="W76" s="15">
        <v>0.95</v>
      </c>
      <c r="X76" s="19">
        <f>MAX(0,MIN(100,0.45*M76+0.6*H76+0.35*L76-0.2*K76-15))</f>
        <v>35.520350000000001</v>
      </c>
      <c r="Y76" s="19">
        <f>MAX(0,MIN(1,0.012*L76+0.025*P76+0.3*E76+0.2*D76-0.18))</f>
        <v>7.2728000000000015E-2</v>
      </c>
      <c r="Z76" s="19">
        <f>MAX(0,MIN(10,1+0.45*R76+30*O76+0.04*(M76-N76)))</f>
        <v>10</v>
      </c>
      <c r="AA76" s="19">
        <f>MAX(0,MIN(10,3+20*(B76-0.52)+15*(C76-0.5)+0.06*(M76-100)))</f>
        <v>4.7350000000000003</v>
      </c>
      <c r="AB76" s="19">
        <f>MAX(0,MIN(10,0.16*L76+0.55*P76+4*E76))</f>
        <v>4.9580400000000004</v>
      </c>
      <c r="AC76" s="19">
        <f>MAX(0,MIN(10,2+0.22*H76-0.12*K76+0.15*P76))</f>
        <v>3.1750400000000001</v>
      </c>
      <c r="AD76" s="19">
        <f>MAX(0,MIN(10,2+0.28*P76+0.1*L76+2*D76+1.5*E76))</f>
        <v>4.4979000000000005</v>
      </c>
      <c r="AE76" s="19">
        <f>MAX(0,MIN(10,0.18*F76+0.08*G76))</f>
        <v>4.5359999999999998E-2</v>
      </c>
      <c r="AF76" s="19">
        <f>MAX(0,MIN(10,4+0.3*Q76+0.6*I76+0.5*J76+0.03*(105-N76)))</f>
        <v>6.6238000000000001</v>
      </c>
      <c r="AG76" s="19">
        <f>0.6*AF76+0.4*T76</f>
        <v>3.9742799999999998</v>
      </c>
      <c r="AH76" s="19">
        <f>MAX(0,MIN(10,S76/3.2-2*U76))</f>
        <v>4.375</v>
      </c>
      <c r="AI76" s="19">
        <f>10*(0.18*Z76+0.17*AA76+0.15*AB76+0.14*AC76+0.1*AD76+0.08*AE76+0.1*AG76+0.08*AH76)</f>
        <v>49.940083999999999</v>
      </c>
      <c r="AJ76" s="19">
        <f>AI76*V76*W76</f>
        <v>47.4430798</v>
      </c>
      <c r="AK76" s="20">
        <f>AJ76*(P76/200)</f>
        <v>1.8265585723</v>
      </c>
    </row>
    <row r="77" spans="1:50" x14ac:dyDescent="0.25">
      <c r="A77" t="s">
        <v>133</v>
      </c>
      <c r="B77" s="16">
        <v>0.57099999999999995</v>
      </c>
      <c r="C77" s="16">
        <v>0.55000000000000004</v>
      </c>
      <c r="D77" s="15">
        <v>0.32100000000000001</v>
      </c>
      <c r="E77" s="15">
        <v>0.156</v>
      </c>
      <c r="F77" s="16">
        <v>3.1E-2</v>
      </c>
      <c r="G77" s="16">
        <v>0.109</v>
      </c>
      <c r="H77" s="16">
        <v>0.26900000000000002</v>
      </c>
      <c r="I77" s="23">
        <v>2.5000000000000001E-2</v>
      </c>
      <c r="J77" s="16">
        <v>2.1000000000000001E-2</v>
      </c>
      <c r="K77" s="18">
        <v>0.157</v>
      </c>
      <c r="L77" s="16">
        <v>0.16400000000000001</v>
      </c>
      <c r="M77" s="15">
        <v>123.8</v>
      </c>
      <c r="N77" s="15">
        <v>81.7</v>
      </c>
      <c r="O77" s="15">
        <v>0.255</v>
      </c>
      <c r="P77" s="15">
        <v>8.6999999999999993</v>
      </c>
      <c r="Q77" s="15">
        <v>7.6</v>
      </c>
      <c r="R77" s="15">
        <v>16.3</v>
      </c>
      <c r="S77" s="15">
        <v>16</v>
      </c>
      <c r="T77" s="15"/>
      <c r="U77" s="15"/>
      <c r="V77" s="15">
        <v>1</v>
      </c>
      <c r="W77" s="15">
        <v>0.99</v>
      </c>
      <c r="X77" s="19">
        <f>MAX(0,MIN(100,0.45*M77+0.6*H77+0.35*L77-0.2*K77-15))</f>
        <v>40.897400000000005</v>
      </c>
      <c r="Y77" s="19">
        <f>MAX(0,MIN(1,0.012*L77+0.025*P77+0.3*E77+0.2*D77-0.18))</f>
        <v>0.15046799999999999</v>
      </c>
      <c r="Z77" s="19">
        <f>MAX(0,MIN(10,1+0.45*R77+30*O77+0.04*(M77-N77)))</f>
        <v>10</v>
      </c>
      <c r="AA77" s="19">
        <f>MAX(0,MIN(10,3+20*(B77-0.52)+15*(C77-0.5)+0.06*(M77-100)))</f>
        <v>6.1979999999999995</v>
      </c>
      <c r="AB77" s="19">
        <f>MAX(0,MIN(10,0.16*L77+0.55*P77+4*E77))</f>
        <v>5.4352399999999994</v>
      </c>
      <c r="AC77" s="19">
        <f>MAX(0,MIN(10,2+0.22*H77-0.12*K77+0.15*P77))</f>
        <v>3.3453400000000002</v>
      </c>
      <c r="AD77" s="19">
        <f>MAX(0,MIN(10,2+0.28*P77+0.1*L77+2*D77+1.5*E77))</f>
        <v>5.3284000000000002</v>
      </c>
      <c r="AE77" s="19">
        <f>MAX(0,MIN(10,0.18*F77+0.08*G77))</f>
        <v>1.43E-2</v>
      </c>
      <c r="AF77" s="19">
        <f>MAX(0,MIN(10,4+0.3*Q77+0.6*I77+0.5*J77+0.03*(105-N77)))</f>
        <v>7.0044999999999993</v>
      </c>
      <c r="AG77" s="19">
        <f>0.6*AF77+0.4*T77</f>
        <v>4.2026999999999992</v>
      </c>
      <c r="AH77" s="19">
        <f>MAX(0,MIN(10,S77/3.2-2*U77))</f>
        <v>5</v>
      </c>
      <c r="AI77" s="19">
        <f>10*(0.18*Z77+0.17*AA77+0.15*AB77+0.14*AC77+0.1*AD77+0.08*AE77+0.1*AG77+0.08*AH77)</f>
        <v>54.915476000000005</v>
      </c>
      <c r="AJ77" s="19">
        <f>AI77*V77*W77</f>
        <v>54.366321240000005</v>
      </c>
      <c r="AK77" s="20">
        <f>AJ77*(P77/200)</f>
        <v>2.3649349739400001</v>
      </c>
    </row>
    <row r="78" spans="1:50" x14ac:dyDescent="0.25">
      <c r="A78" t="s">
        <v>134</v>
      </c>
      <c r="B78" s="15">
        <v>66</v>
      </c>
      <c r="C78" s="15">
        <v>8</v>
      </c>
      <c r="D78" s="16">
        <v>0.36359999999999998</v>
      </c>
      <c r="E78" s="16">
        <v>0.3</v>
      </c>
      <c r="F78" s="15">
        <v>0.47</v>
      </c>
      <c r="G78" s="15">
        <v>18.670000000000002</v>
      </c>
      <c r="H78" s="15">
        <v>2</v>
      </c>
      <c r="I78" s="17">
        <v>0</v>
      </c>
      <c r="J78" s="15">
        <v>4</v>
      </c>
      <c r="K78" s="15">
        <v>0</v>
      </c>
      <c r="L78" s="16">
        <v>0.33329999999999999</v>
      </c>
      <c r="M78" s="16">
        <v>0</v>
      </c>
      <c r="N78" s="16">
        <v>3.1300000000000001E-2</v>
      </c>
      <c r="O78" s="16">
        <v>0</v>
      </c>
      <c r="P78" s="15">
        <v>4</v>
      </c>
      <c r="Q78" s="15"/>
      <c r="R78" s="15"/>
      <c r="S78" s="15"/>
      <c r="T78" s="15">
        <v>1</v>
      </c>
      <c r="U78" s="15">
        <v>0.2</v>
      </c>
      <c r="V78" s="15">
        <v>0.96</v>
      </c>
      <c r="W78" s="15"/>
      <c r="X78" s="19">
        <f>IF(B78=0,0,100*(C78+2*H78+3*I78)/B78)</f>
        <v>18.181818181818183</v>
      </c>
      <c r="Y78" s="19">
        <f>IF(C78=0,0,(J78+K78)/C78)</f>
        <v>0.5</v>
      </c>
      <c r="Z78" s="19"/>
      <c r="AA78" s="19">
        <f>MAX(0,MIN(10,5+50*(D78-0.55)+25*(E78-F78)))</f>
        <v>0</v>
      </c>
      <c r="AB78" s="19">
        <f>MAX(0,MIN(10,0.2*G78+5*Y78))</f>
        <v>6.234</v>
      </c>
      <c r="AC78" s="19">
        <f t="shared" ref="AC78:AC82" si="49">MAX(0,MIN(10,X78/4))</f>
        <v>4.5454545454545459</v>
      </c>
      <c r="AD78" s="19">
        <f>MAX(0,MIN(10,2+0.15*G78+4*Y78-0.03*((L78+M78)/2)))</f>
        <v>6.7955004999999993</v>
      </c>
      <c r="AE78" s="19">
        <f>MAX(0,MIN(10,0.15*N78+0.08*O78))</f>
        <v>4.6950000000000004E-3</v>
      </c>
      <c r="AF78" s="19"/>
      <c r="AG78" s="19"/>
      <c r="AH78" s="19">
        <f>MAX(0,MIN(10,P78/3.2-2*U78))</f>
        <v>0.85</v>
      </c>
      <c r="AI78" s="19">
        <f>10*(0.22*AA78+0.2*AB78+0.18*AC78+0.12*AD78+0.1*AE78+0.13*T78+0.05*AH78)</f>
        <v>30.534113781818178</v>
      </c>
      <c r="AJ78" s="19">
        <f>AI78*V78</f>
        <v>29.31274923054545</v>
      </c>
      <c r="AK78" s="20">
        <f>AJ78*(P78/200)</f>
        <v>0.58625498461090897</v>
      </c>
    </row>
    <row r="79" spans="1:50" x14ac:dyDescent="0.25">
      <c r="A79" t="s">
        <v>135</v>
      </c>
      <c r="B79" s="15">
        <v>1525</v>
      </c>
      <c r="C79" s="15">
        <v>257</v>
      </c>
      <c r="D79" s="16">
        <v>0.64970000000000006</v>
      </c>
      <c r="E79" s="16">
        <v>0.61429999999999996</v>
      </c>
      <c r="F79" s="15">
        <v>0.55000000000000004</v>
      </c>
      <c r="G79" s="15">
        <v>13.22</v>
      </c>
      <c r="H79" s="15">
        <v>44</v>
      </c>
      <c r="I79" s="17">
        <v>141</v>
      </c>
      <c r="J79" s="15">
        <v>18</v>
      </c>
      <c r="K79" s="15">
        <v>12</v>
      </c>
      <c r="L79" s="16">
        <v>0.7097</v>
      </c>
      <c r="M79" s="16">
        <v>0.92159999999999997</v>
      </c>
      <c r="N79" s="16">
        <v>0.02</v>
      </c>
      <c r="O79" s="16">
        <v>0.1212</v>
      </c>
      <c r="P79" s="15">
        <v>26</v>
      </c>
      <c r="Q79" s="15"/>
      <c r="R79" s="15"/>
      <c r="S79" s="15"/>
      <c r="T79" s="15">
        <v>5.5</v>
      </c>
      <c r="U79" s="15">
        <v>0.2</v>
      </c>
      <c r="V79" s="15">
        <v>1</v>
      </c>
      <c r="W79" s="15"/>
      <c r="X79" s="19">
        <f>IF(B79=0,0,100*(C79+2*H79+3*I79)/B79)</f>
        <v>50.360655737704917</v>
      </c>
      <c r="Y79" s="19">
        <f>IF(C79=0,0,(J79+K79)/C79)</f>
        <v>0.11673151750972763</v>
      </c>
      <c r="Z79" s="19"/>
      <c r="AA79" s="19">
        <f>MAX(0,MIN(10,5+50*(D79-0.55)+25*(E79-F79)))</f>
        <v>10</v>
      </c>
      <c r="AB79" s="19">
        <f>MAX(0,MIN(10,0.2*G79+5*Y79))</f>
        <v>3.2276575875486384</v>
      </c>
      <c r="AC79" s="19">
        <f t="shared" si="49"/>
        <v>10</v>
      </c>
      <c r="AD79" s="19">
        <f>MAX(0,MIN(10,2+0.15*G79+4*Y79-0.03*((L79+M79)/2)))</f>
        <v>4.4254565700389099</v>
      </c>
      <c r="AE79" s="19">
        <f>MAX(0,MIN(10,0.15*N79+0.08*O79))</f>
        <v>1.2695999999999999E-2</v>
      </c>
      <c r="AF79" s="19"/>
      <c r="AG79" s="19"/>
      <c r="AH79" s="19">
        <f>MAX(0,MIN(10,P79/3.2-2*U79))</f>
        <v>7.7249999999999996</v>
      </c>
      <c r="AI79" s="19">
        <f>10*(0.22*AA79+0.2*AB79+0.18*AC79+0.12*AD79+0.1*AE79+0.13*T79+0.05*AH79)</f>
        <v>62.791059059143954</v>
      </c>
      <c r="AJ79" s="19">
        <f>AI79*V79</f>
        <v>62.791059059143954</v>
      </c>
      <c r="AK79" s="20">
        <f>AJ79*(P79/200)</f>
        <v>8.1628376776887137</v>
      </c>
    </row>
    <row r="80" spans="1:50" x14ac:dyDescent="0.25">
      <c r="A80" t="s">
        <v>136</v>
      </c>
      <c r="B80" s="15">
        <v>876</v>
      </c>
      <c r="C80" s="15">
        <v>175</v>
      </c>
      <c r="D80" s="16">
        <v>0.45079999999999998</v>
      </c>
      <c r="E80" s="16">
        <v>0.41710000000000003</v>
      </c>
      <c r="F80" s="15">
        <v>0.48</v>
      </c>
      <c r="G80" s="15">
        <v>21.87</v>
      </c>
      <c r="H80" s="15">
        <v>52</v>
      </c>
      <c r="I80" s="17">
        <v>75</v>
      </c>
      <c r="J80" s="15">
        <v>24</v>
      </c>
      <c r="K80" s="15">
        <v>0</v>
      </c>
      <c r="L80" s="16">
        <v>0.68420000000000003</v>
      </c>
      <c r="M80" s="18">
        <v>1</v>
      </c>
      <c r="N80" s="16">
        <v>6.3200000000000006E-2</v>
      </c>
      <c r="O80" s="16">
        <v>0.15629999999999999</v>
      </c>
      <c r="P80" s="15">
        <v>10</v>
      </c>
      <c r="Q80" s="15"/>
      <c r="R80" s="15"/>
      <c r="S80" s="15"/>
      <c r="T80" s="15">
        <v>6</v>
      </c>
      <c r="U80" s="15">
        <v>0.2</v>
      </c>
      <c r="V80" s="15">
        <v>0.96</v>
      </c>
      <c r="W80" s="15"/>
      <c r="X80" s="19">
        <f>IF(B80=0,0,100*(C80+2*H80+3*I80)/B80)</f>
        <v>57.534246575342465</v>
      </c>
      <c r="Y80" s="19">
        <f>IF(C80=0,0,(J80+K80)/C80)</f>
        <v>0.13714285714285715</v>
      </c>
      <c r="Z80" s="19"/>
      <c r="AA80" s="19">
        <f>MAX(0,MIN(10,5+50*(D80-0.55)+25*(E80-F80)))</f>
        <v>0</v>
      </c>
      <c r="AB80" s="19">
        <f>MAX(0,MIN(10,0.2*G80+5*Y80))</f>
        <v>5.0597142857142865</v>
      </c>
      <c r="AC80" s="19">
        <f t="shared" si="49"/>
        <v>10</v>
      </c>
      <c r="AD80" s="19">
        <f>MAX(0,MIN(10,2+0.15*G80+4*Y80-0.03*((L80+M80)/2)))</f>
        <v>5.8038084285714291</v>
      </c>
      <c r="AE80" s="19">
        <f>MAX(0,MIN(10,0.15*N80+0.08*O80))</f>
        <v>2.1984E-2</v>
      </c>
      <c r="AF80" s="19"/>
      <c r="AG80" s="19"/>
      <c r="AH80" s="19">
        <f>MAX(0,MIN(10,P80/3.2-2*U80))</f>
        <v>2.7250000000000001</v>
      </c>
      <c r="AI80" s="19">
        <f>10*(0.22*AA80+0.2*AB80+0.18*AC80+0.12*AD80+0.1*AE80+0.13*T80+0.05*AH80)</f>
        <v>44.268482685714297</v>
      </c>
      <c r="AJ80" s="19">
        <f>AI80*V80</f>
        <v>42.497743378285726</v>
      </c>
      <c r="AK80" s="20">
        <f>AJ80*(P80/200)</f>
        <v>2.1248871689142863</v>
      </c>
    </row>
    <row r="81" spans="1:50" x14ac:dyDescent="0.25">
      <c r="A81" t="s">
        <v>137</v>
      </c>
      <c r="B81" s="15">
        <v>27</v>
      </c>
      <c r="C81" s="15">
        <v>3</v>
      </c>
      <c r="D81" s="16">
        <v>0.375</v>
      </c>
      <c r="E81" s="16">
        <v>0.375</v>
      </c>
      <c r="F81" s="15">
        <v>0.59</v>
      </c>
      <c r="G81" s="15">
        <v>13.33</v>
      </c>
      <c r="H81" s="15">
        <v>0</v>
      </c>
      <c r="I81" s="17">
        <v>3</v>
      </c>
      <c r="J81" s="15">
        <v>0</v>
      </c>
      <c r="K81" s="15">
        <v>0</v>
      </c>
      <c r="L81" s="16">
        <v>0</v>
      </c>
      <c r="M81" s="18">
        <v>1</v>
      </c>
      <c r="N81" s="16">
        <v>5.2600000000000001E-2</v>
      </c>
      <c r="O81" s="16">
        <v>0</v>
      </c>
      <c r="P81" s="15">
        <v>10</v>
      </c>
      <c r="Q81" s="15"/>
      <c r="R81" s="15"/>
      <c r="S81" s="15"/>
      <c r="T81" s="15">
        <v>1</v>
      </c>
      <c r="U81" s="15">
        <v>0.2</v>
      </c>
      <c r="V81" s="15">
        <v>0.96</v>
      </c>
      <c r="W81" s="15"/>
      <c r="X81" s="19">
        <f>IF(B81=0,0,100*(C81+2*H81+3*I81)/B81)</f>
        <v>44.444444444444443</v>
      </c>
      <c r="Y81" s="19">
        <f>IF(C81=0,0,(J81+K81)/C81)</f>
        <v>0</v>
      </c>
      <c r="Z81" s="19"/>
      <c r="AA81" s="19">
        <f>MAX(0,MIN(10,5+50*(D81-0.55)+25*(E81-F81)))</f>
        <v>0</v>
      </c>
      <c r="AB81" s="19">
        <f>MAX(0,MIN(10,0.2*G81+5*Y81))</f>
        <v>2.6660000000000004</v>
      </c>
      <c r="AC81" s="19">
        <f t="shared" si="48"/>
        <v>10</v>
      </c>
      <c r="AD81" s="19">
        <f>MAX(0,MIN(10,2+0.15*G81+4*Y81-0.03*((L81+M81)/2)))</f>
        <v>3.9844999999999997</v>
      </c>
      <c r="AE81" s="19">
        <f>MAX(0,MIN(10,0.15*N81+0.08*O81))</f>
        <v>7.8899999999999994E-3</v>
      </c>
      <c r="AF81" s="19"/>
      <c r="AG81" s="19"/>
      <c r="AH81" s="19">
        <f>MAX(0,MIN(10,P81/3.2-2*U81))</f>
        <v>2.7250000000000001</v>
      </c>
      <c r="AI81" s="19">
        <f>10*(0.22*AA81+0.2*AB81+0.18*AC81+0.12*AD81+0.1*AE81+0.13*T81+0.05*AH81)</f>
        <v>30.783789999999996</v>
      </c>
      <c r="AJ81" s="19">
        <f>AI81*V81</f>
        <v>29.552438399999996</v>
      </c>
      <c r="AK81" s="20">
        <f>AJ81*(P81/200)</f>
        <v>1.4776219199999998</v>
      </c>
    </row>
    <row r="82" spans="1:50" x14ac:dyDescent="0.25">
      <c r="A82" t="s">
        <v>138</v>
      </c>
      <c r="B82" s="16">
        <v>0.57569999999999999</v>
      </c>
      <c r="C82" s="16">
        <v>0.52</v>
      </c>
      <c r="D82" s="15">
        <v>0.434</v>
      </c>
      <c r="E82" s="15">
        <v>0.33</v>
      </c>
      <c r="F82" s="16">
        <v>2.7E-2</v>
      </c>
      <c r="G82" s="16">
        <v>0.126</v>
      </c>
      <c r="H82" s="16">
        <v>0.159</v>
      </c>
      <c r="I82" s="23">
        <v>1.2E-2</v>
      </c>
      <c r="J82" s="16">
        <v>1E-3</v>
      </c>
      <c r="K82" s="18">
        <v>0.123</v>
      </c>
      <c r="L82" s="16">
        <v>0.25700000000000001</v>
      </c>
      <c r="M82" s="15">
        <v>113.6</v>
      </c>
      <c r="N82" s="15">
        <v>93.5</v>
      </c>
      <c r="O82" s="15">
        <v>0.15</v>
      </c>
      <c r="P82" s="15">
        <v>7.1</v>
      </c>
      <c r="Q82" s="15">
        <v>2.2000000000000002</v>
      </c>
      <c r="R82" s="15">
        <v>9.3000000000000007</v>
      </c>
      <c r="S82" s="15"/>
      <c r="T82" s="15"/>
      <c r="U82" s="15"/>
      <c r="V82" s="15">
        <v>1</v>
      </c>
      <c r="W82" s="15">
        <v>0.93</v>
      </c>
      <c r="X82" s="19">
        <f>MAX(0,MIN(100,0.45*M82+0.6*H82+0.35*L82-0.2*K82-15))</f>
        <v>36.280749999999998</v>
      </c>
      <c r="Y82" s="19">
        <f>MAX(0,MIN(1,0.012*L82+0.025*P82+0.3*E82+0.2*D82-0.18))</f>
        <v>0.18638399999999999</v>
      </c>
      <c r="Z82" s="19">
        <f>MAX(0,MIN(10,1+0.45*R82+30*O82+0.04*(M82-N82)))</f>
        <v>10</v>
      </c>
      <c r="AA82" s="19">
        <f>MAX(0,MIN(10,3+20*(B82-0.52)+15*(C82-0.5)+0.06*(M82-100)))</f>
        <v>5.2299999999999995</v>
      </c>
      <c r="AB82" s="19">
        <f>MAX(0,MIN(10,0.16*L82+0.55*P82+4*E82))</f>
        <v>5.2661199999999999</v>
      </c>
      <c r="AC82" s="19">
        <f>MAX(0,MIN(10,2+0.22*H82-0.12*K82+0.15*P82))</f>
        <v>3.0852200000000001</v>
      </c>
      <c r="AD82" s="19">
        <f>MAX(0,MIN(10,2+0.28*P82+0.1*L82+2*D82+1.5*E82))</f>
        <v>5.3767000000000005</v>
      </c>
      <c r="AE82" s="19">
        <f>MAX(0,MIN(10,0.18*F82+0.08*G82))</f>
        <v>1.494E-2</v>
      </c>
      <c r="AF82" s="19">
        <f>MAX(0,MIN(10,4+0.3*Q82+0.6*I82+0.5*J82+0.03*(105-N82)))</f>
        <v>5.0126999999999997</v>
      </c>
      <c r="AG82" s="19">
        <f>0.6*AF82+0.4*T82</f>
        <v>3.0076199999999997</v>
      </c>
      <c r="AH82" s="19">
        <f>MAX(0,MIN(10,S82/3.2-2*U82))</f>
        <v>0</v>
      </c>
      <c r="AI82" s="19">
        <f>10*(0.18*Z82+0.17*AA82+0.15*AB82+0.14*AC82+0.1*AD82+0.08*AE82+0.1*AG82+0.08*AH82)</f>
        <v>47.505759999999995</v>
      </c>
      <c r="AJ82" s="19">
        <f>AI82*V82*W82</f>
        <v>44.180356799999998</v>
      </c>
      <c r="AK82" s="20">
        <f>AJ82*(P82/200)</f>
        <v>1.5684026663999997</v>
      </c>
    </row>
    <row r="83" spans="1:50" x14ac:dyDescent="0.25">
      <c r="A83" t="s">
        <v>139</v>
      </c>
      <c r="B83" s="15">
        <v>915</v>
      </c>
      <c r="C83" s="15">
        <v>190</v>
      </c>
      <c r="D83" s="16">
        <v>0.54600000000000004</v>
      </c>
      <c r="E83" s="16">
        <v>0.50990000000000002</v>
      </c>
      <c r="F83" s="15">
        <v>0.49</v>
      </c>
      <c r="G83" s="15">
        <v>18.38</v>
      </c>
      <c r="H83" s="15">
        <v>102</v>
      </c>
      <c r="I83" s="17">
        <v>30</v>
      </c>
      <c r="J83" s="15">
        <v>22</v>
      </c>
      <c r="K83" s="15">
        <v>0</v>
      </c>
      <c r="L83" s="16">
        <v>0.8226</v>
      </c>
      <c r="M83" s="16">
        <v>1</v>
      </c>
      <c r="N83" s="16">
        <v>7.3099999999999998E-2</v>
      </c>
      <c r="O83" s="16">
        <v>0.14929999999999999</v>
      </c>
      <c r="P83" s="15">
        <v>18</v>
      </c>
      <c r="Q83" s="15"/>
      <c r="R83" s="15"/>
      <c r="S83" s="15"/>
      <c r="T83" s="15">
        <v>6</v>
      </c>
      <c r="U83" s="15">
        <v>0.2</v>
      </c>
      <c r="V83" s="15">
        <v>1</v>
      </c>
      <c r="W83" s="15"/>
      <c r="X83" s="19">
        <f>IF(B83=0,0,100*(C83+2*H83+3*I83)/B83)</f>
        <v>52.896174863387976</v>
      </c>
      <c r="Y83" s="19">
        <f>IF(C83=0,0,(J83+K83)/C83)</f>
        <v>0.11578947368421053</v>
      </c>
      <c r="Z83" s="19"/>
      <c r="AA83" s="19">
        <f>MAX(0,MIN(10,5+50*(D83-0.55)+25*(E83-F83)))</f>
        <v>5.2975000000000003</v>
      </c>
      <c r="AB83" s="19">
        <f>MAX(0,MIN(10,0.2*G83+5*Y83))</f>
        <v>4.2549473684210533</v>
      </c>
      <c r="AC83" s="19">
        <f t="shared" si="48"/>
        <v>10</v>
      </c>
      <c r="AD83" s="19">
        <f>MAX(0,MIN(10,2+0.15*G83+4*Y83-0.03*((L83+M83)/2)))</f>
        <v>5.1928188947368419</v>
      </c>
      <c r="AE83" s="19">
        <f>MAX(0,MIN(10,0.15*N83+0.08*O83))</f>
        <v>2.2908999999999999E-2</v>
      </c>
      <c r="AF83" s="19"/>
      <c r="AG83" s="19"/>
      <c r="AH83" s="19">
        <f>MAX(0,MIN(10,P83/3.2-2*U83))</f>
        <v>5.2249999999999996</v>
      </c>
      <c r="AI83" s="19">
        <f>10*(0.22*AA83+0.2*AB83+0.18*AC83+0.12*AD83+0.1*AE83+0.13*T83+0.05*AH83)</f>
        <v>54.831186410526328</v>
      </c>
      <c r="AJ83" s="19">
        <f>AI83*V83</f>
        <v>54.831186410526328</v>
      </c>
      <c r="AK83" s="20">
        <f>AJ83*(P83/200)</f>
        <v>4.9348067769473696</v>
      </c>
    </row>
    <row r="84" spans="1:50" x14ac:dyDescent="0.25">
      <c r="A84" t="s">
        <v>140</v>
      </c>
      <c r="B84" s="15">
        <v>703</v>
      </c>
      <c r="C84" s="15">
        <v>71</v>
      </c>
      <c r="D84" s="16">
        <v>0.52210000000000001</v>
      </c>
      <c r="E84" s="16">
        <v>0.5</v>
      </c>
      <c r="F84" s="15">
        <v>0.5</v>
      </c>
      <c r="G84" s="15">
        <v>10.61</v>
      </c>
      <c r="H84" s="15">
        <v>18</v>
      </c>
      <c r="I84" s="17">
        <v>33</v>
      </c>
      <c r="J84" s="15">
        <v>12</v>
      </c>
      <c r="K84" s="15">
        <v>0</v>
      </c>
      <c r="L84" s="16">
        <v>0.6</v>
      </c>
      <c r="M84" s="16">
        <v>1</v>
      </c>
      <c r="N84" s="16">
        <v>9.4000000000000004E-3</v>
      </c>
      <c r="O84" s="16">
        <v>0.1012</v>
      </c>
      <c r="P84" s="15">
        <v>8</v>
      </c>
      <c r="Q84" s="15"/>
      <c r="R84" s="15"/>
      <c r="S84" s="15"/>
      <c r="T84" s="15">
        <v>5</v>
      </c>
      <c r="U84" s="15">
        <v>0.2</v>
      </c>
      <c r="V84" s="15">
        <v>0.99</v>
      </c>
      <c r="W84" s="15"/>
      <c r="X84" s="19">
        <f>IF(B84=0,0,100*(C84+2*H84+3*I84)/B84)</f>
        <v>29.30298719772404</v>
      </c>
      <c r="Y84" s="19">
        <f>IF(C84=0,0,(J84+K84)/C84)</f>
        <v>0.16901408450704225</v>
      </c>
      <c r="Z84" s="19"/>
      <c r="AA84" s="19">
        <f>MAX(0,MIN(10,5+50*(D84-0.55)+25*(E84-F84)))</f>
        <v>3.6049999999999982</v>
      </c>
      <c r="AB84" s="19">
        <f>MAX(0,MIN(10,0.2*G84+5*Y84))</f>
        <v>2.9670704225352109</v>
      </c>
      <c r="AC84" s="19">
        <f t="shared" si="48"/>
        <v>7.3257467994310099</v>
      </c>
      <c r="AD84" s="19">
        <f>MAX(0,MIN(10,2+0.15*G84+4*Y84-0.03*((L84+M84)/2)))</f>
        <v>4.2435563380281689</v>
      </c>
      <c r="AE84" s="19">
        <f>MAX(0,MIN(10,0.15*N84+0.08*O84))</f>
        <v>9.5060000000000006E-3</v>
      </c>
      <c r="AF84" s="19"/>
      <c r="AG84" s="19"/>
      <c r="AH84" s="19">
        <f>MAX(0,MIN(10,P84/3.2-2*U84))</f>
        <v>2.1</v>
      </c>
      <c r="AI84" s="19">
        <f>10*(0.22*AA84+0.2*AB84+0.18*AC84+0.12*AD84+0.1*AE84+0.13*T84+0.05*AH84)</f>
        <v>39.703258689680034</v>
      </c>
      <c r="AJ84" s="19">
        <f>AI84*V84</f>
        <v>39.306226102783235</v>
      </c>
      <c r="AK84" s="20">
        <f>AJ84*(P84/200)</f>
        <v>1.5722490441113295</v>
      </c>
    </row>
    <row r="85" spans="1:50" x14ac:dyDescent="0.25">
      <c r="A85" t="s">
        <v>141</v>
      </c>
      <c r="B85" s="15">
        <v>158</v>
      </c>
      <c r="C85" s="15">
        <v>23</v>
      </c>
      <c r="D85" s="16">
        <v>0.60529999999999995</v>
      </c>
      <c r="E85" s="16">
        <v>0.58330000000000004</v>
      </c>
      <c r="F85" s="15">
        <v>0.52</v>
      </c>
      <c r="G85" s="15">
        <v>11.58</v>
      </c>
      <c r="H85" s="15">
        <v>2</v>
      </c>
      <c r="I85" s="17">
        <v>15</v>
      </c>
      <c r="J85" s="15">
        <v>4</v>
      </c>
      <c r="K85" s="15">
        <v>0</v>
      </c>
      <c r="L85" s="16">
        <v>0.33329999999999999</v>
      </c>
      <c r="M85" s="18">
        <v>1</v>
      </c>
      <c r="N85" s="16">
        <v>1.2E-2</v>
      </c>
      <c r="O85" s="16">
        <v>4.0500000000000001E-2</v>
      </c>
      <c r="P85" s="15">
        <v>16</v>
      </c>
      <c r="Q85" s="15"/>
      <c r="R85" s="15"/>
      <c r="S85" s="15"/>
      <c r="T85" s="15">
        <v>3</v>
      </c>
      <c r="U85" s="15">
        <v>0.2</v>
      </c>
      <c r="V85" s="15">
        <v>1</v>
      </c>
      <c r="W85" s="15"/>
      <c r="X85" s="19">
        <f>IF(B85=0,0,100*(C85+2*H85+3*I85)/B85)</f>
        <v>45.569620253164558</v>
      </c>
      <c r="Y85" s="19">
        <f>IF(C85=0,0,(J85+K85)/C85)</f>
        <v>0.17391304347826086</v>
      </c>
      <c r="Z85" s="19"/>
      <c r="AA85" s="19">
        <f>MAX(0,MIN(10,5+50*(D85-0.55)+25*(E85-F85)))</f>
        <v>9.3474999999999966</v>
      </c>
      <c r="AB85" s="19">
        <f>MAX(0,MIN(10,0.2*G85+5*Y85))</f>
        <v>3.1855652173913045</v>
      </c>
      <c r="AC85" s="19">
        <f t="shared" si="48"/>
        <v>10</v>
      </c>
      <c r="AD85" s="19">
        <f>MAX(0,MIN(10,2+0.15*G85+4*Y85-0.03*((L85+M85)/2)))</f>
        <v>4.4126526739130432</v>
      </c>
      <c r="AE85" s="19">
        <f>MAX(0,MIN(10,0.15*N85+0.08*O85))</f>
        <v>5.0400000000000002E-3</v>
      </c>
      <c r="AF85" s="19"/>
      <c r="AG85" s="19"/>
      <c r="AH85" s="19">
        <f>MAX(0,MIN(10,P85/3.2-2*U85))</f>
        <v>4.5999999999999996</v>
      </c>
      <c r="AI85" s="19">
        <f>10*(0.22*AA85+0.2*AB85+0.18*AC85+0.12*AD85+0.1*AE85+0.13*T85+0.05*AH85)</f>
        <v>56.435853643478247</v>
      </c>
      <c r="AJ85" s="19">
        <f>AI85*V85</f>
        <v>56.435853643478247</v>
      </c>
      <c r="AK85" s="20">
        <f>AJ85*(P85/200)</f>
        <v>4.5148682914782601</v>
      </c>
    </row>
    <row r="86" spans="1:50" x14ac:dyDescent="0.25">
      <c r="A86" t="s">
        <v>142</v>
      </c>
      <c r="B86" s="15">
        <v>821</v>
      </c>
      <c r="C86" s="15">
        <v>214</v>
      </c>
      <c r="D86" s="16">
        <v>0.49530000000000002</v>
      </c>
      <c r="E86" s="16">
        <v>0.44130000000000003</v>
      </c>
      <c r="F86" s="15">
        <v>0.49</v>
      </c>
      <c r="G86" s="15">
        <v>29.5</v>
      </c>
      <c r="H86" s="15">
        <v>12</v>
      </c>
      <c r="I86" s="17">
        <v>42</v>
      </c>
      <c r="J86" s="15">
        <v>74</v>
      </c>
      <c r="K86" s="15">
        <v>45</v>
      </c>
      <c r="L86" s="16">
        <v>0.13950000000000001</v>
      </c>
      <c r="M86" s="16">
        <v>0.48280000000000001</v>
      </c>
      <c r="N86" s="18">
        <v>0</v>
      </c>
      <c r="O86" s="16">
        <v>0.155</v>
      </c>
      <c r="P86" s="15">
        <v>36</v>
      </c>
      <c r="Q86" s="15"/>
      <c r="R86" s="15"/>
      <c r="S86" s="15"/>
      <c r="T86" s="15">
        <v>7.5</v>
      </c>
      <c r="U86" s="15">
        <v>0.6</v>
      </c>
      <c r="V86" s="15">
        <v>1.05</v>
      </c>
      <c r="W86" s="15"/>
      <c r="X86" s="19">
        <f>IF(B86=0,0,100*(C86+2*H86+3*I86)/B86)</f>
        <v>44.33617539585871</v>
      </c>
      <c r="Y86" s="19">
        <f>IF(C86=0,0,(J86+K86)/C86)</f>
        <v>0.55607476635514019</v>
      </c>
      <c r="Z86" s="19"/>
      <c r="AA86" s="19">
        <f>MAX(0,MIN(10,5+50*(D86-0.55)+25*(E86-F86)))</f>
        <v>1.0474999999999997</v>
      </c>
      <c r="AB86" s="19">
        <f>MAX(0,MIN(10,0.2*G86+5*Y86))</f>
        <v>8.6803738317757002</v>
      </c>
      <c r="AC86" s="19">
        <f t="shared" si="48"/>
        <v>10</v>
      </c>
      <c r="AD86" s="19">
        <f>MAX(0,MIN(10,2+0.15*G86+4*Y86-0.03*((L86+M86)/2)))</f>
        <v>8.639964565420561</v>
      </c>
      <c r="AE86" s="19">
        <f>MAX(0,MIN(10,0.15*N86+0.08*O86))</f>
        <v>1.24E-2</v>
      </c>
      <c r="AF86" s="19"/>
      <c r="AG86" s="19"/>
      <c r="AH86" s="19">
        <f>MAX(0,MIN(10,P86/3.2-2*U86))</f>
        <v>10</v>
      </c>
      <c r="AI86" s="19">
        <f>10*(0.22*AA86+0.2*AB86+0.18*AC86+0.12*AD86+0.1*AE86+0.13*T86+0.05*AH86)</f>
        <v>62.795605142056075</v>
      </c>
      <c r="AJ86" s="19">
        <f>AI86*V86</f>
        <v>65.935385399158875</v>
      </c>
      <c r="AK86" s="20">
        <f>AJ86*(P86/200)</f>
        <v>11.868369371848598</v>
      </c>
    </row>
    <row r="87" spans="1:50" s="32" customFormat="1" x14ac:dyDescent="0.25">
      <c r="A87" s="31" t="s">
        <v>143</v>
      </c>
      <c r="I87" s="33"/>
      <c r="AK87" s="24">
        <f>SUM(AK72:AK86)</f>
        <v>73.526063077953893</v>
      </c>
      <c r="AL87" s="3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s="6" customFormat="1" x14ac:dyDescent="0.25">
      <c r="A88" s="5"/>
      <c r="B88" s="4" t="s">
        <v>3</v>
      </c>
      <c r="C88" s="4" t="s">
        <v>4</v>
      </c>
      <c r="D88" s="4" t="s">
        <v>5</v>
      </c>
      <c r="E88" s="4" t="s">
        <v>6</v>
      </c>
      <c r="F88" s="4" t="s">
        <v>7</v>
      </c>
      <c r="G88" s="4" t="s">
        <v>8</v>
      </c>
      <c r="H88" s="4" t="s">
        <v>9</v>
      </c>
      <c r="I88" s="9" t="s">
        <v>10</v>
      </c>
      <c r="J88" s="4" t="s">
        <v>11</v>
      </c>
      <c r="K88" s="4" t="s">
        <v>12</v>
      </c>
      <c r="L88" s="4" t="s">
        <v>13</v>
      </c>
      <c r="M88" s="4" t="s">
        <v>14</v>
      </c>
      <c r="N88" s="4" t="s">
        <v>15</v>
      </c>
      <c r="O88" s="4" t="s">
        <v>16</v>
      </c>
      <c r="P88" s="4" t="s">
        <v>17</v>
      </c>
      <c r="Q88" s="4" t="s">
        <v>18</v>
      </c>
      <c r="R88" s="4" t="s">
        <v>19</v>
      </c>
      <c r="S88" s="4" t="s">
        <v>20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3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25" t="s">
        <v>144</v>
      </c>
      <c r="B89" s="11" t="s">
        <v>22</v>
      </c>
      <c r="C89" s="11" t="s">
        <v>23</v>
      </c>
      <c r="D89" s="11" t="s">
        <v>3</v>
      </c>
      <c r="E89" s="11" t="s">
        <v>4</v>
      </c>
      <c r="F89" s="11" t="s">
        <v>24</v>
      </c>
      <c r="G89" s="11" t="s">
        <v>25</v>
      </c>
      <c r="H89" s="11" t="s">
        <v>26</v>
      </c>
      <c r="I89" s="12" t="s">
        <v>27</v>
      </c>
      <c r="J89" s="11" t="s">
        <v>28</v>
      </c>
      <c r="K89" s="11" t="s">
        <v>29</v>
      </c>
      <c r="L89" s="11" t="s">
        <v>30</v>
      </c>
      <c r="M89" s="11" t="s">
        <v>31</v>
      </c>
      <c r="N89" s="11" t="s">
        <v>32</v>
      </c>
      <c r="O89" s="11" t="s">
        <v>33</v>
      </c>
      <c r="P89" s="11" t="s">
        <v>20</v>
      </c>
      <c r="Q89" s="11"/>
      <c r="R89" s="11"/>
      <c r="S89" s="11"/>
      <c r="T89" s="11" t="s">
        <v>34</v>
      </c>
      <c r="U89" s="11" t="s">
        <v>35</v>
      </c>
      <c r="V89" s="11" t="s">
        <v>36</v>
      </c>
      <c r="W89" s="11" t="s">
        <v>37</v>
      </c>
      <c r="X89" s="11" t="s">
        <v>38</v>
      </c>
      <c r="Y89" s="11" t="s">
        <v>39</v>
      </c>
      <c r="Z89" s="11" t="s">
        <v>40</v>
      </c>
      <c r="AA89" s="11" t="s">
        <v>41</v>
      </c>
      <c r="AB89" s="11" t="s">
        <v>42</v>
      </c>
      <c r="AC89" s="11" t="s">
        <v>43</v>
      </c>
      <c r="AD89" s="11" t="s">
        <v>44</v>
      </c>
      <c r="AE89" s="11" t="s">
        <v>45</v>
      </c>
      <c r="AF89" s="11" t="s">
        <v>46</v>
      </c>
      <c r="AG89" s="11" t="s">
        <v>47</v>
      </c>
      <c r="AH89" s="11" t="s">
        <v>48</v>
      </c>
      <c r="AI89" s="11" t="s">
        <v>49</v>
      </c>
      <c r="AJ89" s="11" t="s">
        <v>50</v>
      </c>
      <c r="AK89" s="13" t="s">
        <v>51</v>
      </c>
    </row>
    <row r="90" spans="1:50" x14ac:dyDescent="0.25">
      <c r="A90" t="s">
        <v>145</v>
      </c>
      <c r="B90" s="15">
        <v>2039</v>
      </c>
      <c r="C90" s="15">
        <v>321</v>
      </c>
      <c r="D90" s="16">
        <v>0.64200000000000002</v>
      </c>
      <c r="E90" s="16">
        <v>0.60409999999999997</v>
      </c>
      <c r="F90" s="15">
        <v>0.52</v>
      </c>
      <c r="G90" s="15">
        <v>13.1</v>
      </c>
      <c r="H90" s="15">
        <v>88</v>
      </c>
      <c r="I90" s="17">
        <v>147</v>
      </c>
      <c r="J90" s="15">
        <v>26</v>
      </c>
      <c r="K90" s="15">
        <v>6</v>
      </c>
      <c r="L90" s="16">
        <v>0.77190000000000003</v>
      </c>
      <c r="M90" s="16">
        <v>0.96079999999999999</v>
      </c>
      <c r="N90" s="16">
        <v>2.58E-2</v>
      </c>
      <c r="O90" s="16">
        <v>0.1021</v>
      </c>
      <c r="P90" s="15">
        <v>31</v>
      </c>
      <c r="Q90" s="15"/>
      <c r="R90" s="15"/>
      <c r="S90" s="15"/>
      <c r="T90" s="15">
        <v>6.5</v>
      </c>
      <c r="U90" s="15">
        <v>0.4</v>
      </c>
      <c r="V90" s="15">
        <v>1.01</v>
      </c>
      <c r="W90" s="15"/>
      <c r="X90" s="19">
        <f>IF(B90=0,0,100*(C90+2*H90+3*I90)/B90)</f>
        <v>46.002942618930845</v>
      </c>
      <c r="Y90" s="19">
        <f>IF(C90=0,0,(J90+K90)/C90)</f>
        <v>9.9688473520249218E-2</v>
      </c>
      <c r="Z90" s="19"/>
      <c r="AA90" s="19">
        <f>MAX(0,MIN(10,5+50*(D90-0.55)+25*(E90-F90)))</f>
        <v>10</v>
      </c>
      <c r="AB90" s="19">
        <f>MAX(0,MIN(10,0.2*G90+5*Y90))</f>
        <v>3.1184423676012463</v>
      </c>
      <c r="AC90" s="19">
        <f t="shared" ref="AC90:AC106" si="50">MAX(0,MIN(10,X90/4))</f>
        <v>10</v>
      </c>
      <c r="AD90" s="19">
        <f>MAX(0,MIN(10,2+0.15*G90+4*Y90-0.03*((L90+M90)/2)))</f>
        <v>4.337763394080997</v>
      </c>
      <c r="AE90" s="19">
        <f>MAX(0,MIN(10,0.15*N90+0.08*O90))</f>
        <v>1.2038E-2</v>
      </c>
      <c r="AF90" s="19"/>
      <c r="AG90" s="19"/>
      <c r="AH90" s="19">
        <f>MAX(0,MIN(10,P90/3.2-2*U90))</f>
        <v>8.8874999999999993</v>
      </c>
      <c r="AI90" s="19">
        <f>10*(0.22*AA90+0.2*AB90+0.18*AC90+0.12*AD90+0.1*AE90+0.13*T90+0.05*AH90)</f>
        <v>64.347988808099686</v>
      </c>
      <c r="AJ90" s="19">
        <f>AI90*V90</f>
        <v>64.991468696180689</v>
      </c>
      <c r="AK90" s="20">
        <f>AJ90*(P90/200)</f>
        <v>10.073677647908006</v>
      </c>
    </row>
    <row r="91" spans="1:50" x14ac:dyDescent="0.25">
      <c r="A91" t="s">
        <v>146</v>
      </c>
      <c r="B91" s="15">
        <v>2048</v>
      </c>
      <c r="C91" s="15">
        <v>636</v>
      </c>
      <c r="D91" s="16">
        <v>0.52869999999999995</v>
      </c>
      <c r="E91" s="16">
        <v>0.4698</v>
      </c>
      <c r="F91" s="15">
        <v>0.5</v>
      </c>
      <c r="G91" s="15">
        <v>28.54</v>
      </c>
      <c r="H91" s="15">
        <v>172</v>
      </c>
      <c r="I91" s="17">
        <v>168</v>
      </c>
      <c r="J91" s="15">
        <v>119</v>
      </c>
      <c r="K91" s="15">
        <v>33</v>
      </c>
      <c r="L91" s="16">
        <v>0.6099</v>
      </c>
      <c r="M91" s="18">
        <v>0.83579999999999999</v>
      </c>
      <c r="N91" s="16">
        <v>5.3800000000000001E-2</v>
      </c>
      <c r="O91" s="16">
        <v>0.17299999999999999</v>
      </c>
      <c r="P91" s="15">
        <v>28</v>
      </c>
      <c r="Q91" s="15"/>
      <c r="R91" s="15"/>
      <c r="S91" s="15"/>
      <c r="T91" s="15">
        <v>7</v>
      </c>
      <c r="U91" s="15">
        <v>0.2</v>
      </c>
      <c r="V91" s="15">
        <v>1.01</v>
      </c>
      <c r="W91" s="15"/>
      <c r="X91" s="19">
        <f>IF(B91=0,0,100*(C91+2*H91+3*I91)/B91)</f>
        <v>72.4609375</v>
      </c>
      <c r="Y91" s="19">
        <f>IF(C91=0,0,(J91+K91)/C91)</f>
        <v>0.2389937106918239</v>
      </c>
      <c r="Z91" s="19"/>
      <c r="AA91" s="19">
        <f>MAX(0,MIN(10,5+50*(D91-0.55)+25*(E91-F91)))</f>
        <v>3.1799999999999953</v>
      </c>
      <c r="AB91" s="19">
        <f>MAX(0,MIN(10,0.2*G91+5*Y91))</f>
        <v>6.9029685534591199</v>
      </c>
      <c r="AC91" s="19">
        <f t="shared" si="50"/>
        <v>10</v>
      </c>
      <c r="AD91" s="19">
        <f>MAX(0,MIN(10,2+0.15*G91+4*Y91-0.03*((L91+M91)/2)))</f>
        <v>7.2152893427672948</v>
      </c>
      <c r="AE91" s="19">
        <f>MAX(0,MIN(10,0.15*N91+0.08*O91))</f>
        <v>2.1909999999999999E-2</v>
      </c>
      <c r="AF91" s="19"/>
      <c r="AG91" s="19"/>
      <c r="AH91" s="19">
        <f>MAX(0,MIN(10,P91/3.2-2*U91))</f>
        <v>8.35</v>
      </c>
      <c r="AI91" s="19">
        <f>10*(0.22*AA91+0.2*AB91+0.18*AC91+0.12*AD91+0.1*AE91+0.13*T91+0.05*AH91)</f>
        <v>60.757194318238987</v>
      </c>
      <c r="AJ91" s="19">
        <f>AI91*V91</f>
        <v>61.36476626142138</v>
      </c>
      <c r="AK91" s="20">
        <f>AJ91*(P91/200)</f>
        <v>8.5910672765989933</v>
      </c>
    </row>
    <row r="92" spans="1:50" x14ac:dyDescent="0.25">
      <c r="A92" t="s">
        <v>147</v>
      </c>
      <c r="B92" s="16">
        <v>0.66100000000000003</v>
      </c>
      <c r="C92" s="16">
        <v>0.53400000000000003</v>
      </c>
      <c r="D92" s="15">
        <v>0.114</v>
      </c>
      <c r="E92" s="15">
        <v>0.77300000000000002</v>
      </c>
      <c r="F92" s="16">
        <v>7.4999999999999997E-2</v>
      </c>
      <c r="G92" s="16">
        <v>0.19</v>
      </c>
      <c r="H92" s="16">
        <v>0.105</v>
      </c>
      <c r="I92" s="23">
        <v>0.02</v>
      </c>
      <c r="J92" s="16">
        <v>4.2000000000000003E-2</v>
      </c>
      <c r="K92" s="18">
        <v>0.14799999999999999</v>
      </c>
      <c r="L92" s="16">
        <v>0.245</v>
      </c>
      <c r="M92" s="15">
        <v>116</v>
      </c>
      <c r="N92" s="15">
        <v>86</v>
      </c>
      <c r="O92" s="15">
        <v>0.24</v>
      </c>
      <c r="P92" s="15">
        <v>7</v>
      </c>
      <c r="Q92" s="15">
        <v>4.5999999999999996</v>
      </c>
      <c r="R92" s="15">
        <v>11.6</v>
      </c>
      <c r="S92" s="15">
        <v>12</v>
      </c>
      <c r="T92" s="15">
        <v>6.5</v>
      </c>
      <c r="U92" s="15">
        <v>0.2</v>
      </c>
      <c r="V92" s="15">
        <v>1</v>
      </c>
      <c r="W92" s="15">
        <v>0.99</v>
      </c>
      <c r="X92" s="19">
        <f>MAX(0,MIN(100,0.45*M92+0.6*H92+0.35*L92-0.2*K92-15))</f>
        <v>37.31915</v>
      </c>
      <c r="Y92" s="19">
        <f>MAX(0,MIN(1,0.012*L92+0.025*P92+0.3*E92+0.2*D92-0.18))</f>
        <v>0.25263999999999998</v>
      </c>
      <c r="Z92" s="19">
        <f>MAX(0,MIN(10,1+0.45*R92+30*O92+0.04*(M92-N92)))</f>
        <v>10</v>
      </c>
      <c r="AA92" s="19">
        <f>MAX(0,MIN(10,3+20*(B92-0.52)+15*(C92-0.5)+0.06*(M92-100)))</f>
        <v>7.2900000000000009</v>
      </c>
      <c r="AB92" s="19">
        <f>MAX(0,MIN(10,0.16*L92+0.55*P92+4*E92))</f>
        <v>6.9812000000000012</v>
      </c>
      <c r="AC92" s="19">
        <f>MAX(0,MIN(10,2+0.22*H92-0.12*K92+0.15*P92))</f>
        <v>3.0553400000000002</v>
      </c>
      <c r="AD92" s="19">
        <f>MAX(0,MIN(10,2+0.28*P92+0.1*L92+2*D92+1.5*E92))</f>
        <v>5.3719999999999999</v>
      </c>
      <c r="AE92" s="19">
        <f>MAX(0,MIN(10,0.18*F92+0.08*G92))</f>
        <v>2.87E-2</v>
      </c>
      <c r="AF92" s="19">
        <f>MAX(0,MIN(10,4+0.3*Q92+0.6*I92+0.5*J92+0.03*(105-N92)))</f>
        <v>5.9829999999999997</v>
      </c>
      <c r="AG92" s="19">
        <f>0.6*AF92+0.4*T92</f>
        <v>6.1898</v>
      </c>
      <c r="AH92" s="19">
        <f>MAX(0,MIN(10,S92/3.2-2*U92))</f>
        <v>3.35</v>
      </c>
      <c r="AI92" s="19">
        <f>10*(0.18*Z92+0.17*AA92+0.15*AB92+0.14*AC92+0.1*AD92+0.08*AE92+0.1*AG92+0.08*AH92)</f>
        <v>59.407035999999998</v>
      </c>
      <c r="AJ92" s="19">
        <f>AI92*V92*W92</f>
        <v>58.812965639999994</v>
      </c>
      <c r="AK92" s="20">
        <f>AJ92*(P92/200)</f>
        <v>2.0584537973999999</v>
      </c>
    </row>
    <row r="93" spans="1:50" x14ac:dyDescent="0.25">
      <c r="A93" t="s">
        <v>148</v>
      </c>
      <c r="B93" s="16">
        <v>0.59899999999999998</v>
      </c>
      <c r="C93" s="16">
        <v>0.54700000000000004</v>
      </c>
      <c r="D93" s="15">
        <v>0.13100000000000001</v>
      </c>
      <c r="E93" s="15">
        <v>0.26200000000000001</v>
      </c>
      <c r="F93" s="16">
        <v>2.8000000000000001E-2</v>
      </c>
      <c r="G93" s="16">
        <v>0.115</v>
      </c>
      <c r="H93" s="16">
        <v>0.3</v>
      </c>
      <c r="I93" s="23">
        <v>3.2000000000000001E-2</v>
      </c>
      <c r="J93" s="16">
        <v>3.0000000000000001E-3</v>
      </c>
      <c r="K93" s="18">
        <v>0.18</v>
      </c>
      <c r="L93" s="16">
        <v>0.21</v>
      </c>
      <c r="M93" s="15">
        <v>114</v>
      </c>
      <c r="N93" s="15">
        <v>84</v>
      </c>
      <c r="O93" s="15">
        <v>0.23</v>
      </c>
      <c r="P93" s="15">
        <v>6.8</v>
      </c>
      <c r="Q93" s="15">
        <v>4.2</v>
      </c>
      <c r="R93" s="15">
        <v>11</v>
      </c>
      <c r="S93" s="15">
        <v>8</v>
      </c>
      <c r="T93" s="15">
        <v>5.5</v>
      </c>
      <c r="U93" s="15">
        <v>0.2</v>
      </c>
      <c r="V93" s="15">
        <v>0.98</v>
      </c>
      <c r="W93" s="15">
        <v>0.97</v>
      </c>
      <c r="X93" s="19">
        <f t="shared" ref="X93:X97" si="51">MAX(0,MIN(100,0.45*M93+0.6*H93+0.35*L93-0.2*K93-15))</f>
        <v>36.517500000000005</v>
      </c>
      <c r="Y93" s="19">
        <f t="shared" ref="Y93:Y97" si="52">MAX(0,MIN(1,0.012*L93+0.025*P93+0.3*E93+0.2*D93-0.18))</f>
        <v>9.7320000000000018E-2</v>
      </c>
      <c r="Z93" s="19">
        <f t="shared" ref="Z93:Z97" si="53">MAX(0,MIN(10,1+0.45*R93+30*O93+0.04*(M93-N93)))</f>
        <v>10</v>
      </c>
      <c r="AA93" s="19">
        <f t="shared" ref="AA93:AA97" si="54">MAX(0,MIN(10,3+20*(B93-0.52)+15*(C93-0.5)+0.06*(M93-100)))</f>
        <v>6.125</v>
      </c>
      <c r="AB93" s="19">
        <f t="shared" ref="AB93:AB97" si="55">MAX(0,MIN(10,0.16*L93+0.55*P93+4*E93))</f>
        <v>4.8216000000000001</v>
      </c>
      <c r="AC93" s="19">
        <f t="shared" ref="AC93:AC97" si="56">MAX(0,MIN(10,2+0.22*H93-0.12*K93+0.15*P93))</f>
        <v>3.0644</v>
      </c>
      <c r="AD93" s="19">
        <f t="shared" ref="AD93:AD97" si="57">MAX(0,MIN(10,2+0.28*P93+0.1*L93+2*D93+1.5*E93))</f>
        <v>4.5799999999999992</v>
      </c>
      <c r="AE93" s="19">
        <f t="shared" ref="AE93:AE97" si="58">MAX(0,MIN(10,0.18*F93+0.08*G93))</f>
        <v>1.4239999999999999E-2</v>
      </c>
      <c r="AF93" s="19">
        <f t="shared" ref="AF93:AF97" si="59">MAX(0,MIN(10,4+0.3*Q93+0.6*I93+0.5*J93+0.03*(105-N93)))</f>
        <v>5.9106999999999994</v>
      </c>
      <c r="AG93" s="19">
        <f t="shared" ref="AG93:AG97" si="60">0.6*AF93+0.4*T93</f>
        <v>5.7464199999999996</v>
      </c>
      <c r="AH93" s="19">
        <f t="shared" ref="AH93:AH97" si="61">MAX(0,MIN(10,S93/3.2-2*U93))</f>
        <v>2.1</v>
      </c>
      <c r="AI93" s="19">
        <f t="shared" ref="AI93:AI97" si="62">10*(0.18*Z93+0.17*AA93+0.15*AB93+0.14*AC93+0.1*AD93+0.08*AE93+0.1*AG93+0.08*AH93)</f>
        <v>51.952871999999999</v>
      </c>
      <c r="AJ93" s="19">
        <f t="shared" ref="AJ93:AJ97" si="63">AI93*V93*W93</f>
        <v>49.386400123199998</v>
      </c>
      <c r="AK93" s="20">
        <f t="shared" ref="AK93:AK97" si="64">AJ93*(P93/200)</f>
        <v>1.6791376041888</v>
      </c>
    </row>
    <row r="94" spans="1:50" x14ac:dyDescent="0.25">
      <c r="A94" t="s">
        <v>149</v>
      </c>
      <c r="B94" s="16">
        <v>0.61899999999999999</v>
      </c>
      <c r="C94" s="16">
        <v>0.60299999999999998</v>
      </c>
      <c r="D94" s="15">
        <v>0</v>
      </c>
      <c r="E94" s="15">
        <v>0.39</v>
      </c>
      <c r="F94" s="16">
        <v>0.15</v>
      </c>
      <c r="G94" s="16">
        <v>0.22500000000000001</v>
      </c>
      <c r="H94" s="16">
        <v>6.7000000000000004E-2</v>
      </c>
      <c r="I94" s="23">
        <v>1.2999999999999999E-2</v>
      </c>
      <c r="J94" s="16">
        <v>5.0999999999999997E-2</v>
      </c>
      <c r="K94" s="18">
        <v>0.17299999999999999</v>
      </c>
      <c r="L94" s="16">
        <v>0.25700000000000001</v>
      </c>
      <c r="M94" s="15">
        <v>112.3</v>
      </c>
      <c r="N94" s="15">
        <v>84.9</v>
      </c>
      <c r="O94" s="15">
        <v>0.254</v>
      </c>
      <c r="P94" s="15">
        <v>5.3</v>
      </c>
      <c r="Q94" s="15">
        <v>4.0999999999999996</v>
      </c>
      <c r="R94" s="15">
        <v>9.5</v>
      </c>
      <c r="S94" s="15">
        <v>8</v>
      </c>
      <c r="T94" s="15">
        <v>5</v>
      </c>
      <c r="U94" s="15">
        <v>0.2</v>
      </c>
      <c r="V94" s="15">
        <v>1</v>
      </c>
      <c r="W94" s="15">
        <v>0.95</v>
      </c>
      <c r="X94" s="19">
        <f t="shared" si="51"/>
        <v>35.630549999999999</v>
      </c>
      <c r="Y94" s="19">
        <f t="shared" si="52"/>
        <v>7.2584000000000037E-2</v>
      </c>
      <c r="Z94" s="19">
        <f t="shared" si="53"/>
        <v>10</v>
      </c>
      <c r="AA94" s="19">
        <f t="shared" si="54"/>
        <v>7.262999999999999</v>
      </c>
      <c r="AB94" s="19">
        <f t="shared" si="55"/>
        <v>4.5161199999999999</v>
      </c>
      <c r="AC94" s="19">
        <f t="shared" si="56"/>
        <v>2.7889800000000005</v>
      </c>
      <c r="AD94" s="19">
        <f t="shared" si="57"/>
        <v>4.0946999999999996</v>
      </c>
      <c r="AE94" s="19">
        <f t="shared" si="58"/>
        <v>4.4999999999999998E-2</v>
      </c>
      <c r="AF94" s="19">
        <f t="shared" si="59"/>
        <v>5.866299999999999</v>
      </c>
      <c r="AG94" s="19">
        <f t="shared" si="60"/>
        <v>5.519779999999999</v>
      </c>
      <c r="AH94" s="19">
        <f t="shared" si="61"/>
        <v>2.1</v>
      </c>
      <c r="AI94" s="19">
        <f t="shared" si="62"/>
        <v>52.356331999999988</v>
      </c>
      <c r="AJ94" s="19">
        <f t="shared" si="63"/>
        <v>49.738515399999983</v>
      </c>
      <c r="AK94" s="20">
        <f t="shared" si="64"/>
        <v>1.3180706580999995</v>
      </c>
    </row>
    <row r="95" spans="1:50" x14ac:dyDescent="0.25">
      <c r="A95" t="s">
        <v>150</v>
      </c>
      <c r="B95" s="16">
        <v>0.51100000000000001</v>
      </c>
      <c r="C95" s="16">
        <v>0.48699999999999999</v>
      </c>
      <c r="D95" s="15">
        <v>0.46300000000000002</v>
      </c>
      <c r="E95" s="15">
        <v>0.16</v>
      </c>
      <c r="F95" s="16">
        <v>1.6E-2</v>
      </c>
      <c r="G95" s="16">
        <v>0.14099999999999999</v>
      </c>
      <c r="H95" s="16">
        <v>0.32400000000000001</v>
      </c>
      <c r="I95" s="23">
        <v>2.4E-2</v>
      </c>
      <c r="J95" s="16">
        <v>8.0000000000000002E-3</v>
      </c>
      <c r="K95" s="18">
        <v>0.22700000000000001</v>
      </c>
      <c r="L95" s="16">
        <v>0.29099999999999998</v>
      </c>
      <c r="M95" s="15">
        <v>90.5</v>
      </c>
      <c r="N95" s="15">
        <v>97</v>
      </c>
      <c r="O95" s="15">
        <v>8.7999999999999995E-2</v>
      </c>
      <c r="P95" s="15">
        <v>0.6</v>
      </c>
      <c r="Q95" s="15">
        <v>-2.8</v>
      </c>
      <c r="R95" s="15">
        <v>-2.2000000000000002</v>
      </c>
      <c r="S95" s="15">
        <v>5</v>
      </c>
      <c r="T95" s="15">
        <v>4</v>
      </c>
      <c r="U95" s="15">
        <v>0.2</v>
      </c>
      <c r="V95" s="15">
        <v>1</v>
      </c>
      <c r="W95" s="15">
        <v>0.93</v>
      </c>
      <c r="X95" s="19">
        <f t="shared" si="51"/>
        <v>25.975850000000001</v>
      </c>
      <c r="Y95" s="19">
        <f t="shared" si="52"/>
        <v>0</v>
      </c>
      <c r="Z95" s="19">
        <f t="shared" si="53"/>
        <v>2.3899999999999997</v>
      </c>
      <c r="AA95" s="19">
        <f t="shared" si="54"/>
        <v>2.0549999999999997</v>
      </c>
      <c r="AB95" s="19">
        <f t="shared" si="55"/>
        <v>1.0165600000000001</v>
      </c>
      <c r="AC95" s="19">
        <f t="shared" si="56"/>
        <v>2.1340399999999997</v>
      </c>
      <c r="AD95" s="19">
        <f t="shared" si="57"/>
        <v>3.3631000000000002</v>
      </c>
      <c r="AE95" s="19">
        <f t="shared" si="58"/>
        <v>1.4159999999999999E-2</v>
      </c>
      <c r="AF95" s="19">
        <f t="shared" si="59"/>
        <v>3.4184000000000001</v>
      </c>
      <c r="AG95" s="19">
        <f t="shared" si="60"/>
        <v>3.6510400000000001</v>
      </c>
      <c r="AH95" s="19">
        <f t="shared" si="61"/>
        <v>1.1625000000000001</v>
      </c>
      <c r="AI95" s="19">
        <f t="shared" si="62"/>
        <v>20.263464000000006</v>
      </c>
      <c r="AJ95" s="19">
        <f t="shared" si="63"/>
        <v>18.845021520000007</v>
      </c>
      <c r="AK95" s="20">
        <f t="shared" si="64"/>
        <v>5.6535064560000022E-2</v>
      </c>
    </row>
    <row r="96" spans="1:50" x14ac:dyDescent="0.25">
      <c r="A96" t="s">
        <v>151</v>
      </c>
      <c r="B96" s="16">
        <v>0.48799999999999999</v>
      </c>
      <c r="C96" s="16">
        <v>0.44500000000000001</v>
      </c>
      <c r="D96" s="15">
        <v>0.14000000000000001</v>
      </c>
      <c r="E96" s="15">
        <v>0.497</v>
      </c>
      <c r="F96" s="16">
        <v>2.1999999999999999E-2</v>
      </c>
      <c r="G96" s="16">
        <v>0.109</v>
      </c>
      <c r="H96" s="16">
        <v>0.52400000000000002</v>
      </c>
      <c r="I96" s="23">
        <v>5.8999999999999997E-2</v>
      </c>
      <c r="J96" s="16">
        <v>6.0000000000000001E-3</v>
      </c>
      <c r="K96" s="18">
        <v>0.16800000000000001</v>
      </c>
      <c r="L96" s="16">
        <v>0.28100000000000003</v>
      </c>
      <c r="M96" s="15">
        <v>101.5</v>
      </c>
      <c r="N96" s="15">
        <v>88.3</v>
      </c>
      <c r="O96" s="15">
        <v>0.19700000000000001</v>
      </c>
      <c r="P96" s="15">
        <v>6.3</v>
      </c>
      <c r="Q96" s="15">
        <v>6.9</v>
      </c>
      <c r="R96" s="15">
        <v>13.2</v>
      </c>
      <c r="S96" s="15">
        <v>14</v>
      </c>
      <c r="T96" s="15">
        <v>5</v>
      </c>
      <c r="U96" s="15">
        <v>0.2</v>
      </c>
      <c r="V96" s="15">
        <v>1</v>
      </c>
      <c r="W96" s="15">
        <v>0.96</v>
      </c>
      <c r="X96" s="19">
        <f t="shared" si="51"/>
        <v>31.054150000000007</v>
      </c>
      <c r="Y96" s="19">
        <f t="shared" si="52"/>
        <v>0.15797200000000006</v>
      </c>
      <c r="Z96" s="19">
        <f t="shared" si="53"/>
        <v>10</v>
      </c>
      <c r="AA96" s="19">
        <f t="shared" si="54"/>
        <v>1.6249999999999996</v>
      </c>
      <c r="AB96" s="19">
        <f t="shared" si="55"/>
        <v>5.4979600000000008</v>
      </c>
      <c r="AC96" s="19">
        <f t="shared" si="56"/>
        <v>3.0401199999999995</v>
      </c>
      <c r="AD96" s="19">
        <f t="shared" si="57"/>
        <v>4.8175999999999997</v>
      </c>
      <c r="AE96" s="19">
        <f t="shared" si="58"/>
        <v>1.268E-2</v>
      </c>
      <c r="AF96" s="19">
        <f t="shared" si="59"/>
        <v>6.6094000000000008</v>
      </c>
      <c r="AG96" s="19">
        <f t="shared" si="60"/>
        <v>5.9656400000000005</v>
      </c>
      <c r="AH96" s="19">
        <f t="shared" si="61"/>
        <v>3.9750000000000001</v>
      </c>
      <c r="AI96" s="19">
        <f t="shared" si="62"/>
        <v>47.238991999999989</v>
      </c>
      <c r="AJ96" s="19">
        <f t="shared" si="63"/>
        <v>45.349432319999991</v>
      </c>
      <c r="AK96" s="20">
        <f t="shared" si="64"/>
        <v>1.4285071180799997</v>
      </c>
    </row>
    <row r="97" spans="1:50" x14ac:dyDescent="0.25">
      <c r="A97" t="s">
        <v>152</v>
      </c>
      <c r="B97" s="16">
        <v>0.64600000000000002</v>
      </c>
      <c r="C97" s="16">
        <v>0.60199999999999998</v>
      </c>
      <c r="D97" s="15">
        <v>0.17</v>
      </c>
      <c r="E97" s="15">
        <v>0.48699999999999999</v>
      </c>
      <c r="F97" s="16">
        <v>7.6999999999999999E-2</v>
      </c>
      <c r="G97" s="16">
        <v>0.152</v>
      </c>
      <c r="H97" s="16">
        <v>0.27400000000000002</v>
      </c>
      <c r="I97" s="23">
        <v>3.6999999999999998E-2</v>
      </c>
      <c r="J97" s="16">
        <v>1.7999999999999999E-2</v>
      </c>
      <c r="K97" s="18">
        <v>0.14000000000000001</v>
      </c>
      <c r="L97" s="16">
        <v>0.27900000000000003</v>
      </c>
      <c r="M97" s="15">
        <v>124.7</v>
      </c>
      <c r="N97" s="15">
        <v>88.4</v>
      </c>
      <c r="O97" s="15">
        <v>0.31900000000000001</v>
      </c>
      <c r="P97" s="15">
        <v>9.8000000000000007</v>
      </c>
      <c r="Q97" s="15">
        <v>3.3</v>
      </c>
      <c r="R97" s="15">
        <v>13.1</v>
      </c>
      <c r="S97" s="15">
        <v>4</v>
      </c>
      <c r="T97" s="15">
        <v>5</v>
      </c>
      <c r="U97" s="15">
        <v>0.2</v>
      </c>
      <c r="V97" s="15">
        <v>1</v>
      </c>
      <c r="W97" s="15">
        <v>0.9</v>
      </c>
      <c r="X97" s="19">
        <f t="shared" si="51"/>
        <v>41.349050000000005</v>
      </c>
      <c r="Y97" s="19">
        <f t="shared" si="52"/>
        <v>0.24844800000000006</v>
      </c>
      <c r="Z97" s="19">
        <f t="shared" si="53"/>
        <v>10</v>
      </c>
      <c r="AA97" s="19">
        <f t="shared" si="54"/>
        <v>8.532</v>
      </c>
      <c r="AB97" s="19">
        <f t="shared" si="55"/>
        <v>7.3826400000000003</v>
      </c>
      <c r="AC97" s="19">
        <f t="shared" si="56"/>
        <v>3.5134800000000004</v>
      </c>
      <c r="AD97" s="19">
        <f t="shared" si="57"/>
        <v>5.8424000000000005</v>
      </c>
      <c r="AE97" s="19">
        <f t="shared" si="58"/>
        <v>2.6020000000000001E-2</v>
      </c>
      <c r="AF97" s="19">
        <f t="shared" si="59"/>
        <v>5.5192000000000005</v>
      </c>
      <c r="AG97" s="19">
        <f t="shared" si="60"/>
        <v>5.3115199999999998</v>
      </c>
      <c r="AH97" s="19">
        <f t="shared" si="61"/>
        <v>0.85</v>
      </c>
      <c r="AI97" s="19">
        <f t="shared" si="62"/>
        <v>60.351968000000006</v>
      </c>
      <c r="AJ97" s="19">
        <f t="shared" si="63"/>
        <v>54.316771200000005</v>
      </c>
      <c r="AK97" s="20">
        <f t="shared" si="64"/>
        <v>2.6615217888000005</v>
      </c>
    </row>
    <row r="98" spans="1:50" x14ac:dyDescent="0.25">
      <c r="A98" t="s">
        <v>153</v>
      </c>
      <c r="B98" s="15">
        <v>970</v>
      </c>
      <c r="C98" s="15">
        <v>152</v>
      </c>
      <c r="D98" s="16">
        <v>0.6179</v>
      </c>
      <c r="E98" s="16">
        <v>0.59089999999999998</v>
      </c>
      <c r="F98" s="15">
        <v>0.54</v>
      </c>
      <c r="G98" s="15">
        <v>13.33</v>
      </c>
      <c r="H98" s="15">
        <v>50</v>
      </c>
      <c r="I98" s="17">
        <v>54</v>
      </c>
      <c r="J98" s="15">
        <v>20</v>
      </c>
      <c r="K98" s="15">
        <v>6</v>
      </c>
      <c r="L98" s="16">
        <v>0.71430000000000005</v>
      </c>
      <c r="M98" s="16">
        <v>0.9</v>
      </c>
      <c r="N98" s="16">
        <v>6.2199999999999998E-2</v>
      </c>
      <c r="O98" s="16">
        <v>9.5699999999999993E-2</v>
      </c>
      <c r="P98" s="15">
        <f>492/41</f>
        <v>12</v>
      </c>
      <c r="Q98" s="15"/>
      <c r="R98" s="15"/>
      <c r="S98" s="15"/>
      <c r="T98" s="15">
        <v>5</v>
      </c>
      <c r="U98" s="15">
        <v>0.2</v>
      </c>
      <c r="V98" s="15">
        <v>1</v>
      </c>
      <c r="W98" s="15"/>
      <c r="X98" s="19">
        <f>IF(B98=0,0,100*(C98+2*H98+3*I98)/B98)</f>
        <v>42.680412371134018</v>
      </c>
      <c r="Y98" s="19">
        <f>IF(C98=0,0,(J98+K98)/C98)</f>
        <v>0.17105263157894737</v>
      </c>
      <c r="Z98" s="19"/>
      <c r="AA98" s="19">
        <f>MAX(0,MIN(10,5+50*(D98-0.55)+25*(E98-F98)))</f>
        <v>9.6674999999999969</v>
      </c>
      <c r="AB98" s="19">
        <f>MAX(0,MIN(10,0.2*G98+5*Y98))</f>
        <v>3.5212631578947371</v>
      </c>
      <c r="AC98" s="19">
        <f t="shared" si="50"/>
        <v>10</v>
      </c>
      <c r="AD98" s="19">
        <f>MAX(0,MIN(10,2+0.15*G98+4*Y98-0.03*((L98+M98)/2)))</f>
        <v>4.6594960263157894</v>
      </c>
      <c r="AE98" s="19">
        <f>MAX(0,MIN(10,0.15*N98+0.08*O98))</f>
        <v>1.6986000000000001E-2</v>
      </c>
      <c r="AF98" s="19"/>
      <c r="AG98" s="19"/>
      <c r="AH98" s="19">
        <f>MAX(0,MIN(10,P98/3.2-2*U98))</f>
        <v>3.35</v>
      </c>
      <c r="AI98" s="19">
        <f>10*(0.22*AA98+0.2*AB98+0.18*AC98+0.12*AD98+0.1*AE98+0.13*T98+0.05*AH98)</f>
        <v>60.094407547368426</v>
      </c>
      <c r="AJ98" s="19">
        <f>AI98*V98</f>
        <v>60.094407547368426</v>
      </c>
      <c r="AK98" s="20">
        <f>AJ98*(P98/200)</f>
        <v>3.6056644528421056</v>
      </c>
    </row>
    <row r="99" spans="1:50" x14ac:dyDescent="0.25">
      <c r="A99" t="s">
        <v>154</v>
      </c>
      <c r="B99" s="15">
        <v>1597</v>
      </c>
      <c r="C99" s="15">
        <v>225</v>
      </c>
      <c r="D99" s="16">
        <v>0.44469999999999998</v>
      </c>
      <c r="E99" s="16">
        <v>0.42920000000000003</v>
      </c>
      <c r="F99" s="15">
        <v>0.49</v>
      </c>
      <c r="G99" s="15">
        <v>15.75</v>
      </c>
      <c r="H99" s="15">
        <v>56</v>
      </c>
      <c r="I99" s="17">
        <v>117</v>
      </c>
      <c r="J99" s="15">
        <v>24</v>
      </c>
      <c r="K99" s="15">
        <v>9</v>
      </c>
      <c r="L99" s="16">
        <v>0.7</v>
      </c>
      <c r="M99" s="16">
        <v>0.92859999999999998</v>
      </c>
      <c r="N99" s="16">
        <v>2.1100000000000001E-2</v>
      </c>
      <c r="O99" s="16">
        <v>0.1197</v>
      </c>
      <c r="P99" s="15">
        <v>19</v>
      </c>
      <c r="Q99" s="15"/>
      <c r="R99" s="15"/>
      <c r="S99" s="15"/>
      <c r="T99" s="15">
        <v>5.5</v>
      </c>
      <c r="U99" s="15">
        <v>0.2</v>
      </c>
      <c r="V99" s="15">
        <v>1</v>
      </c>
      <c r="W99" s="15"/>
      <c r="X99" s="19">
        <f>IF(B99=0,0,100*(C99+2*H99+3*I99)/B99)</f>
        <v>43.080776455854725</v>
      </c>
      <c r="Y99" s="19">
        <f>IF(C99=0,0,(J99+K99)/C99)</f>
        <v>0.14666666666666667</v>
      </c>
      <c r="Z99" s="19"/>
      <c r="AA99" s="19">
        <f>MAX(0,MIN(10,5+50*(D99-0.55)+25*(E99-F99)))</f>
        <v>0</v>
      </c>
      <c r="AB99" s="19">
        <f>MAX(0,MIN(10,0.2*G99+5*Y99))</f>
        <v>3.8833333333333337</v>
      </c>
      <c r="AC99" s="19">
        <f t="shared" si="50"/>
        <v>10</v>
      </c>
      <c r="AD99" s="19">
        <f>MAX(0,MIN(10,2+0.15*G99+4*Y99-0.03*((L99+M99)/2)))</f>
        <v>4.9247376666666671</v>
      </c>
      <c r="AE99" s="19">
        <f>MAX(0,MIN(10,0.15*N99+0.08*O99))</f>
        <v>1.2740999999999999E-2</v>
      </c>
      <c r="AF99" s="19"/>
      <c r="AG99" s="19"/>
      <c r="AH99" s="19">
        <f>MAX(0,MIN(10,P99/3.2-2*U99))</f>
        <v>5.5374999999999996</v>
      </c>
      <c r="AI99" s="19">
        <f>10*(0.22*AA99+0.2*AB99+0.18*AC99+0.12*AD99+0.1*AE99+0.13*T99+0.05*AH99)</f>
        <v>41.607842866666672</v>
      </c>
      <c r="AJ99" s="19">
        <f>AI99*V99</f>
        <v>41.607842866666672</v>
      </c>
      <c r="AK99" s="20">
        <f>AJ99*(P99/200)</f>
        <v>3.9527450723333337</v>
      </c>
    </row>
    <row r="100" spans="1:50" x14ac:dyDescent="0.25">
      <c r="A100" t="s">
        <v>155</v>
      </c>
      <c r="B100" s="15">
        <v>390</v>
      </c>
      <c r="C100" s="15">
        <v>46</v>
      </c>
      <c r="D100" s="16">
        <v>0.41070000000000001</v>
      </c>
      <c r="E100" s="16">
        <v>0.40820000000000001</v>
      </c>
      <c r="F100" s="15">
        <v>0.47</v>
      </c>
      <c r="G100" s="15">
        <v>14.42</v>
      </c>
      <c r="H100" s="15">
        <v>34</v>
      </c>
      <c r="I100" s="17">
        <v>0</v>
      </c>
      <c r="J100" s="15">
        <v>6</v>
      </c>
      <c r="K100" s="15">
        <v>0</v>
      </c>
      <c r="L100" s="16">
        <v>0.85</v>
      </c>
      <c r="M100" s="16">
        <v>0</v>
      </c>
      <c r="N100" s="16">
        <v>5.4300000000000001E-2</v>
      </c>
      <c r="O100" s="16">
        <v>0.1091</v>
      </c>
      <c r="P100" s="15">
        <v>9</v>
      </c>
      <c r="Q100" s="15"/>
      <c r="R100" s="15"/>
      <c r="S100" s="15"/>
      <c r="T100" s="15">
        <v>5</v>
      </c>
      <c r="U100" s="15">
        <v>0.2</v>
      </c>
      <c r="V100" s="15">
        <v>1</v>
      </c>
      <c r="W100" s="15"/>
      <c r="X100" s="19">
        <f>IF(B100=0,0,100*(C100+2*H100+3*I100)/B100)</f>
        <v>29.23076923076923</v>
      </c>
      <c r="Y100" s="19">
        <f>IF(C100=0,0,(J100+K100)/C100)</f>
        <v>0.13043478260869565</v>
      </c>
      <c r="Z100" s="19"/>
      <c r="AA100" s="19">
        <f>MAX(0,MIN(10,5+50*(D100-0.55)+25*(E100-F100)))</f>
        <v>0</v>
      </c>
      <c r="AB100" s="19">
        <f>MAX(0,MIN(10,0.2*G100+5*Y100))</f>
        <v>3.5361739130434788</v>
      </c>
      <c r="AC100" s="19">
        <f t="shared" si="50"/>
        <v>7.3076923076923075</v>
      </c>
      <c r="AD100" s="19">
        <f>MAX(0,MIN(10,2+0.15*G100+4*Y100-0.03*((L100+M100)/2)))</f>
        <v>4.6719891304347829</v>
      </c>
      <c r="AE100" s="19">
        <f>MAX(0,MIN(10,0.15*N100+0.08*O100))</f>
        <v>1.6872999999999999E-2</v>
      </c>
      <c r="AF100" s="19"/>
      <c r="AG100" s="19"/>
      <c r="AH100" s="19">
        <f>MAX(0,MIN(10,P100/3.2-2*U100))</f>
        <v>2.4125000000000001</v>
      </c>
      <c r="AI100" s="19">
        <f>10*(0.22*AA100+0.2*AB100+0.18*AC100+0.12*AD100+0.1*AE100+0.13*T100+0.05*AH100)</f>
        <v>33.555703936454847</v>
      </c>
      <c r="AJ100" s="19">
        <f>AI100*V100</f>
        <v>33.555703936454847</v>
      </c>
      <c r="AK100" s="20">
        <f>AJ100*(P100/200)</f>
        <v>1.5100066771404681</v>
      </c>
    </row>
    <row r="101" spans="1:50" x14ac:dyDescent="0.25">
      <c r="A101" t="s">
        <v>156</v>
      </c>
      <c r="B101" s="15">
        <v>73</v>
      </c>
      <c r="C101" s="15">
        <v>12</v>
      </c>
      <c r="D101" s="16">
        <v>0.3</v>
      </c>
      <c r="E101" s="16">
        <v>0.3</v>
      </c>
      <c r="F101" s="15">
        <v>0.45</v>
      </c>
      <c r="G101" s="15">
        <v>29.76</v>
      </c>
      <c r="H101" s="15">
        <v>8</v>
      </c>
      <c r="I101" s="17">
        <v>0</v>
      </c>
      <c r="J101" s="15">
        <v>4</v>
      </c>
      <c r="K101" s="15">
        <v>0</v>
      </c>
      <c r="L101" s="16">
        <v>0.66669999999999996</v>
      </c>
      <c r="M101" s="16">
        <v>0</v>
      </c>
      <c r="N101" s="16">
        <v>8.1100000000000005E-2</v>
      </c>
      <c r="O101" s="16">
        <v>0.1111</v>
      </c>
      <c r="P101" s="15">
        <v>5</v>
      </c>
      <c r="Q101" s="15"/>
      <c r="R101" s="15"/>
      <c r="S101" s="15"/>
      <c r="T101" s="15">
        <v>6.5</v>
      </c>
      <c r="U101" s="15">
        <v>0.2</v>
      </c>
      <c r="V101" s="15">
        <v>0.98</v>
      </c>
      <c r="W101" s="15"/>
      <c r="X101" s="19">
        <f>IF(B101=0,0,100*(C101+2*H101+3*I101)/B101)</f>
        <v>38.356164383561641</v>
      </c>
      <c r="Y101" s="19">
        <f>IF(C101=0,0,(J101+K101)/C101)</f>
        <v>0.33333333333333331</v>
      </c>
      <c r="Z101" s="19"/>
      <c r="AA101" s="19">
        <f>MAX(0,MIN(10,5+50*(D101-0.55)+25*(E101-F101)))</f>
        <v>0</v>
      </c>
      <c r="AB101" s="19">
        <f>MAX(0,MIN(10,0.2*G101+5*Y101))</f>
        <v>7.6186666666666678</v>
      </c>
      <c r="AC101" s="19">
        <f t="shared" si="50"/>
        <v>9.5890410958904102</v>
      </c>
      <c r="AD101" s="19">
        <f>MAX(0,MIN(10,2+0.15*G101+4*Y101-0.03*((L101+M101)/2)))</f>
        <v>7.7873328333333331</v>
      </c>
      <c r="AE101" s="19">
        <f>MAX(0,MIN(10,0.15*N101+0.08*O101))</f>
        <v>2.1053000000000002E-2</v>
      </c>
      <c r="AF101" s="19"/>
      <c r="AG101" s="19"/>
      <c r="AH101" s="19">
        <f>MAX(0,MIN(10,P101/3.2-2*U101))</f>
        <v>1.1625000000000001</v>
      </c>
      <c r="AI101" s="19">
        <f>10*(0.22*AA101+0.2*AB101+0.18*AC101+0.12*AD101+0.1*AE101+0.13*T101+0.05*AH101)</f>
        <v>50.89470970593608</v>
      </c>
      <c r="AJ101" s="19">
        <f>AI101*V101</f>
        <v>49.876815511817355</v>
      </c>
      <c r="AK101" s="20">
        <f>AJ101*(P101/200)</f>
        <v>1.246920387795434</v>
      </c>
    </row>
    <row r="102" spans="1:50" x14ac:dyDescent="0.25">
      <c r="A102" t="s">
        <v>157</v>
      </c>
      <c r="B102" s="15">
        <v>1879</v>
      </c>
      <c r="C102" s="15">
        <v>566</v>
      </c>
      <c r="D102" s="16">
        <v>0.56540000000000001</v>
      </c>
      <c r="E102" s="16">
        <v>0.48649999999999999</v>
      </c>
      <c r="F102" s="15">
        <v>0.5</v>
      </c>
      <c r="G102" s="15">
        <v>26.74</v>
      </c>
      <c r="H102" s="15">
        <v>258</v>
      </c>
      <c r="I102" s="17">
        <v>54</v>
      </c>
      <c r="J102" s="15">
        <v>76</v>
      </c>
      <c r="K102" s="15">
        <v>9</v>
      </c>
      <c r="L102" s="16">
        <v>0.77249999999999996</v>
      </c>
      <c r="M102" s="18">
        <v>0.85709999999999997</v>
      </c>
      <c r="N102" s="16">
        <v>3.61E-2</v>
      </c>
      <c r="O102" s="16">
        <v>0.1651</v>
      </c>
      <c r="P102" s="15">
        <v>36</v>
      </c>
      <c r="Q102" s="15"/>
      <c r="R102" s="15"/>
      <c r="S102" s="15"/>
      <c r="T102" s="15">
        <v>7</v>
      </c>
      <c r="U102" s="15">
        <v>0.2</v>
      </c>
      <c r="V102" s="15">
        <v>1.05</v>
      </c>
      <c r="W102" s="15"/>
      <c r="X102" s="19">
        <f>IF(B102=0,0,100*(C102+2*H102+3*I102)/B102)</f>
        <v>66.205428419372012</v>
      </c>
      <c r="Y102" s="19">
        <f>IF(C102=0,0,(J102+K102)/C102)</f>
        <v>0.15017667844522969</v>
      </c>
      <c r="Z102" s="19"/>
      <c r="AA102" s="19">
        <f>MAX(0,MIN(10,5+50*(D102-0.55)+25*(E102-F102)))</f>
        <v>5.4324999999999983</v>
      </c>
      <c r="AB102" s="19">
        <f>MAX(0,MIN(10,0.2*G102+5*Y102))</f>
        <v>6.0988833922261483</v>
      </c>
      <c r="AC102" s="19">
        <f t="shared" si="50"/>
        <v>10</v>
      </c>
      <c r="AD102" s="19">
        <f>MAX(0,MIN(10,2+0.15*G102+4*Y102-0.03*((L102+M102)/2)))</f>
        <v>6.5872627137809179</v>
      </c>
      <c r="AE102" s="19">
        <f>MAX(0,MIN(10,0.15*N102+0.08*O102))</f>
        <v>1.8623000000000001E-2</v>
      </c>
      <c r="AF102" s="19"/>
      <c r="AG102" s="19"/>
      <c r="AH102" s="19">
        <f>MAX(0,MIN(10,P102/3.2-2*U102))</f>
        <v>10</v>
      </c>
      <c r="AI102" s="19">
        <f>10*(0.22*AA102+0.2*AB102+0.18*AC102+0.12*AD102+0.1*AE102+0.13*T102+0.05*AH102)</f>
        <v>64.172605040989396</v>
      </c>
      <c r="AJ102" s="19">
        <f>AI102*V102</f>
        <v>67.38123529303887</v>
      </c>
      <c r="AK102" s="20">
        <f>AJ102*(P102/200)</f>
        <v>12.128622352746996</v>
      </c>
    </row>
    <row r="103" spans="1:50" x14ac:dyDescent="0.25">
      <c r="A103" t="s">
        <v>158</v>
      </c>
      <c r="B103" s="16">
        <v>0.55700000000000005</v>
      </c>
      <c r="C103" s="16">
        <v>0.50600000000000001</v>
      </c>
      <c r="D103" s="15">
        <v>0.248</v>
      </c>
      <c r="E103" s="15">
        <v>0.44700000000000001</v>
      </c>
      <c r="F103" s="16">
        <v>5.0999999999999997E-2</v>
      </c>
      <c r="G103" s="16">
        <v>0.17299999999999999</v>
      </c>
      <c r="H103" s="16">
        <v>0.248</v>
      </c>
      <c r="I103" s="23">
        <v>1.7000000000000001E-2</v>
      </c>
      <c r="J103" s="16">
        <v>1.2999999999999999E-2</v>
      </c>
      <c r="K103" s="18">
        <v>0.15</v>
      </c>
      <c r="L103" s="16">
        <v>0.315</v>
      </c>
      <c r="M103" s="15">
        <v>110.9</v>
      </c>
      <c r="N103" s="15">
        <v>95.1</v>
      </c>
      <c r="O103" s="15">
        <v>0.23200000000000001</v>
      </c>
      <c r="P103" s="15">
        <v>8.5</v>
      </c>
      <c r="Q103" s="15">
        <v>1.8</v>
      </c>
      <c r="R103" s="15">
        <v>10.199999999999999</v>
      </c>
      <c r="S103" s="15">
        <v>10</v>
      </c>
      <c r="T103" s="15">
        <v>4</v>
      </c>
      <c r="U103" s="15">
        <v>0.2</v>
      </c>
      <c r="V103" s="15">
        <v>1</v>
      </c>
      <c r="W103" s="15">
        <v>0.95</v>
      </c>
      <c r="X103" s="19">
        <f>MAX(0,MIN(100,0.45*M103+0.6*H103+0.35*L103-0.2*K103-15))</f>
        <v>35.134050000000002</v>
      </c>
      <c r="Y103" s="19">
        <f>MAX(0,MIN(1,0.012*L103+0.025*P103+0.3*E103+0.2*D103-0.18))</f>
        <v>0.21998000000000001</v>
      </c>
      <c r="Z103" s="19">
        <f>MAX(0,MIN(10,1+0.45*R103+30*O103+0.04*(M103-N103)))</f>
        <v>10</v>
      </c>
      <c r="AA103" s="19">
        <f>MAX(0,MIN(10,3+20*(B103-0.52)+15*(C103-0.5)+0.06*(M103-100)))</f>
        <v>4.4840000000000018</v>
      </c>
      <c r="AB103" s="19">
        <f>MAX(0,MIN(10,0.16*L103+0.55*P103+4*E103))</f>
        <v>6.5134000000000007</v>
      </c>
      <c r="AC103" s="19">
        <f>MAX(0,MIN(10,2+0.22*H103-0.12*K103+0.15*P103))</f>
        <v>3.3115600000000001</v>
      </c>
      <c r="AD103" s="19">
        <f>MAX(0,MIN(10,2+0.28*P103+0.1*L103+2*D103+1.5*E103))</f>
        <v>5.5780000000000003</v>
      </c>
      <c r="AE103" s="19">
        <f>MAX(0,MIN(10,0.18*F103+0.08*G103))</f>
        <v>2.3019999999999999E-2</v>
      </c>
      <c r="AF103" s="19">
        <f>MAX(0,MIN(10,4+0.3*Q103+0.6*I103+0.5*J103+0.03*(105-N103)))</f>
        <v>4.8536999999999999</v>
      </c>
      <c r="AG103" s="19">
        <f>0.6*AF103+0.4*T103</f>
        <v>4.5122200000000001</v>
      </c>
      <c r="AH103" s="19">
        <f>MAX(0,MIN(10,S103/3.2-2*U103))</f>
        <v>2.7250000000000001</v>
      </c>
      <c r="AI103" s="19">
        <f>10*(0.18*Z103+0.17*AA103+0.15*AB103+0.14*AC103+0.1*AD103+0.08*AE103+0.1*AG103+0.08*AH103)</f>
        <v>52.317719999999994</v>
      </c>
      <c r="AJ103" s="19">
        <f>AI103*V103*W103</f>
        <v>49.701833999999991</v>
      </c>
      <c r="AK103" s="20">
        <f>AJ103*(P103/200)</f>
        <v>2.1123279449999997</v>
      </c>
    </row>
    <row r="104" spans="1:50" x14ac:dyDescent="0.25">
      <c r="A104" t="s">
        <v>159</v>
      </c>
      <c r="B104" s="15">
        <v>85</v>
      </c>
      <c r="C104" s="15">
        <v>8</v>
      </c>
      <c r="D104" s="16">
        <v>0.66669999999999996</v>
      </c>
      <c r="E104" s="16">
        <v>0.66669999999999996</v>
      </c>
      <c r="F104" s="15">
        <v>0.56000000000000005</v>
      </c>
      <c r="G104" s="15">
        <v>7.69</v>
      </c>
      <c r="H104" s="15">
        <v>2</v>
      </c>
      <c r="I104" s="17">
        <v>6</v>
      </c>
      <c r="J104" s="15">
        <v>0</v>
      </c>
      <c r="K104" s="15">
        <v>0</v>
      </c>
      <c r="L104" s="16">
        <v>1</v>
      </c>
      <c r="M104" s="18">
        <v>1</v>
      </c>
      <c r="N104" s="16">
        <v>9.6799999999999997E-2</v>
      </c>
      <c r="O104" s="16">
        <v>0.1143</v>
      </c>
      <c r="P104" s="15">
        <f>44/4</f>
        <v>11</v>
      </c>
      <c r="Q104" s="15"/>
      <c r="R104" s="15"/>
      <c r="S104" s="15"/>
      <c r="T104" s="15">
        <v>6</v>
      </c>
      <c r="U104" s="15">
        <v>0.2</v>
      </c>
      <c r="V104" s="15">
        <v>1</v>
      </c>
      <c r="W104" s="15"/>
      <c r="X104" s="19">
        <f>IF(B104=0,0,100*(C104+2*H104+3*I104)/B104)</f>
        <v>35.294117647058826</v>
      </c>
      <c r="Y104" s="19">
        <f>IF(C104=0,0,(J104+K104)/C104)</f>
        <v>0</v>
      </c>
      <c r="Z104" s="19"/>
      <c r="AA104" s="19">
        <f>MAX(0,MIN(10,5+50*(D104-0.55)+25*(E104-F104)))</f>
        <v>10</v>
      </c>
      <c r="AB104" s="19">
        <f>MAX(0,MIN(10,0.2*G104+5*Y104))</f>
        <v>1.5380000000000003</v>
      </c>
      <c r="AC104" s="19">
        <f t="shared" si="50"/>
        <v>8.8235294117647065</v>
      </c>
      <c r="AD104" s="19">
        <f>MAX(0,MIN(10,2+0.15*G104+4*Y104-0.03*((L104+M104)/2)))</f>
        <v>3.1235000000000004</v>
      </c>
      <c r="AE104" s="19">
        <f>MAX(0,MIN(10,0.15*N104+0.08*O104))</f>
        <v>2.3663999999999998E-2</v>
      </c>
      <c r="AF104" s="19"/>
      <c r="AG104" s="19"/>
      <c r="AH104" s="19">
        <f>MAX(0,MIN(10,P104/3.2-2*U104))</f>
        <v>3.0375000000000001</v>
      </c>
      <c r="AI104" s="19">
        <f>10*(0.22*AA104+0.2*AB104+0.18*AC104+0.12*AD104+0.1*AE104+0.13*T104+0.05*AH104)</f>
        <v>54.048966941176467</v>
      </c>
      <c r="AJ104" s="19">
        <f>AI104*V104</f>
        <v>54.048966941176467</v>
      </c>
      <c r="AK104" s="20">
        <f>AJ104*(P104/200)</f>
        <v>2.9726931817647055</v>
      </c>
    </row>
    <row r="105" spans="1:50" x14ac:dyDescent="0.25">
      <c r="A105" t="s">
        <v>160</v>
      </c>
      <c r="B105" s="15">
        <v>1683</v>
      </c>
      <c r="C105" s="15">
        <v>329</v>
      </c>
      <c r="D105" s="16">
        <v>0.56769999999999998</v>
      </c>
      <c r="E105" s="16">
        <v>0.53420000000000001</v>
      </c>
      <c r="F105" s="15">
        <v>0.5</v>
      </c>
      <c r="G105" s="15">
        <v>18.350000000000001</v>
      </c>
      <c r="H105" s="15">
        <v>84</v>
      </c>
      <c r="I105" s="17">
        <v>123</v>
      </c>
      <c r="J105" s="15">
        <v>74</v>
      </c>
      <c r="K105" s="15">
        <v>0</v>
      </c>
      <c r="L105" s="16">
        <v>0.53159999999999996</v>
      </c>
      <c r="M105" s="18">
        <v>1</v>
      </c>
      <c r="N105" s="16">
        <v>3.8100000000000002E-2</v>
      </c>
      <c r="O105" s="16">
        <v>0.1056</v>
      </c>
      <c r="P105" s="15">
        <f>848/28</f>
        <v>30.285714285714285</v>
      </c>
      <c r="Q105" s="15"/>
      <c r="R105" s="15"/>
      <c r="S105" s="15"/>
      <c r="T105" s="15">
        <v>5.5</v>
      </c>
      <c r="U105" s="15">
        <v>0.2</v>
      </c>
      <c r="V105" s="15">
        <v>1</v>
      </c>
      <c r="W105" s="15"/>
      <c r="X105" s="19">
        <f>IF(B105=0,0,100*(C105+2*H105+3*I105)/B105)</f>
        <v>51.455733808674985</v>
      </c>
      <c r="Y105" s="19">
        <f>IF(C105=0,0,(J105+K105)/C105)</f>
        <v>0.22492401215805471</v>
      </c>
      <c r="Z105" s="19"/>
      <c r="AA105" s="19">
        <f>MAX(0,MIN(10,5+50*(D105-0.55)+25*(E105-F105)))</f>
        <v>6.7399999999999975</v>
      </c>
      <c r="AB105" s="19">
        <f>MAX(0,MIN(10,0.2*G105+5*Y105))</f>
        <v>4.7946200607902743</v>
      </c>
      <c r="AC105" s="19">
        <f t="shared" si="50"/>
        <v>10</v>
      </c>
      <c r="AD105" s="19">
        <f>MAX(0,MIN(10,2+0.15*G105+4*Y105-0.03*((L105+M105)/2)))</f>
        <v>5.6292220486322186</v>
      </c>
      <c r="AE105" s="19">
        <f>MAX(0,MIN(10,0.15*N105+0.08*O105))</f>
        <v>1.4163000000000002E-2</v>
      </c>
      <c r="AF105" s="19"/>
      <c r="AG105" s="19"/>
      <c r="AH105" s="19">
        <f>MAX(0,MIN(10,P105/3.2-2*U105))</f>
        <v>9.0642857142857132</v>
      </c>
      <c r="AI105" s="19">
        <f>10*(0.22*AA105+0.2*AB105+0.18*AC105+0.12*AD105+0.1*AE105+0.13*T105+0.05*AH105)</f>
        <v>60.868612437082056</v>
      </c>
      <c r="AJ105" s="19">
        <f>AI105*V105</f>
        <v>60.868612437082056</v>
      </c>
      <c r="AK105" s="20">
        <f>AJ105*(P105/200)</f>
        <v>9.2172470261867101</v>
      </c>
    </row>
    <row r="106" spans="1:50" x14ac:dyDescent="0.25">
      <c r="A106" t="s">
        <v>161</v>
      </c>
      <c r="B106" s="15">
        <v>2387</v>
      </c>
      <c r="C106" s="15">
        <v>693</v>
      </c>
      <c r="D106" s="16">
        <v>0.53520000000000001</v>
      </c>
      <c r="E106" s="16">
        <v>0.47210000000000002</v>
      </c>
      <c r="F106" s="15">
        <v>0.48</v>
      </c>
      <c r="G106" s="15">
        <v>27.97</v>
      </c>
      <c r="H106" s="15">
        <v>150</v>
      </c>
      <c r="I106" s="17">
        <v>195</v>
      </c>
      <c r="J106" s="15">
        <v>148</v>
      </c>
      <c r="K106" s="15">
        <v>48</v>
      </c>
      <c r="L106" s="16">
        <v>0.50339999999999996</v>
      </c>
      <c r="M106" s="16">
        <v>0.80249999999999999</v>
      </c>
      <c r="N106" s="16">
        <v>2.7199999999999998E-2</v>
      </c>
      <c r="O106" s="16">
        <v>0.1288</v>
      </c>
      <c r="P106" s="15">
        <v>34</v>
      </c>
      <c r="Q106" s="15"/>
      <c r="R106" s="15"/>
      <c r="S106" s="15"/>
      <c r="T106" s="15">
        <v>7.5</v>
      </c>
      <c r="U106" s="15">
        <v>0.4</v>
      </c>
      <c r="V106" s="15">
        <v>1.05</v>
      </c>
      <c r="W106" s="15"/>
      <c r="X106" s="19">
        <f>IF(B106=0,0,100*(C106+2*H106+3*I106)/B106)</f>
        <v>66.108085462924166</v>
      </c>
      <c r="Y106" s="19">
        <f>IF(C106=0,0,(J106+K106)/C106)</f>
        <v>0.28282828282828282</v>
      </c>
      <c r="Z106" s="19"/>
      <c r="AA106" s="19">
        <f>MAX(0,MIN(10,5+50*(D106-0.55)+25*(E106-F106)))</f>
        <v>4.0624999999999991</v>
      </c>
      <c r="AB106" s="19">
        <f>MAX(0,MIN(10,0.2*G106+5*Y106))</f>
        <v>7.0081414141414147</v>
      </c>
      <c r="AC106" s="19">
        <f t="shared" si="50"/>
        <v>10</v>
      </c>
      <c r="AD106" s="19">
        <f>MAX(0,MIN(10,2+0.15*G106+4*Y106-0.03*((L106+M106)/2)))</f>
        <v>7.3072246313131313</v>
      </c>
      <c r="AE106" s="19">
        <f>MAX(0,MIN(10,0.15*N106+0.08*O106))</f>
        <v>1.4384000000000001E-2</v>
      </c>
      <c r="AF106" s="19"/>
      <c r="AG106" s="19"/>
      <c r="AH106" s="19">
        <f>MAX(0,MIN(10,P106/3.2-2*U106))</f>
        <v>9.8249999999999993</v>
      </c>
      <c r="AI106" s="19">
        <f>10*(0.22*AA106+0.2*AB106+0.18*AC106+0.12*AD106+0.1*AE106+0.13*T106+0.05*AH106)</f>
        <v>64.399336385858589</v>
      </c>
      <c r="AJ106" s="19">
        <f>AI106*V106</f>
        <v>67.619303205151525</v>
      </c>
      <c r="AK106" s="20">
        <f>AJ106*(P106/200)</f>
        <v>11.495281544875761</v>
      </c>
    </row>
    <row r="107" spans="1:50" s="32" customFormat="1" x14ac:dyDescent="0.25">
      <c r="A107" s="31" t="s">
        <v>162</v>
      </c>
      <c r="I107" s="33"/>
      <c r="AK107" s="24">
        <f>SUM(AK90:AK106)</f>
        <v>76.108479596321303</v>
      </c>
      <c r="AL107" s="3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s="6" customFormat="1" x14ac:dyDescent="0.25">
      <c r="A108" s="5"/>
      <c r="B108" s="4" t="s">
        <v>3</v>
      </c>
      <c r="C108" s="4" t="s">
        <v>4</v>
      </c>
      <c r="D108" s="4" t="s">
        <v>5</v>
      </c>
      <c r="E108" s="4" t="s">
        <v>6</v>
      </c>
      <c r="F108" s="4" t="s">
        <v>7</v>
      </c>
      <c r="G108" s="4" t="s">
        <v>8</v>
      </c>
      <c r="H108" s="4" t="s">
        <v>9</v>
      </c>
      <c r="I108" s="9" t="s">
        <v>10</v>
      </c>
      <c r="J108" s="4" t="s">
        <v>11</v>
      </c>
      <c r="K108" s="4" t="s">
        <v>12</v>
      </c>
      <c r="L108" s="4" t="s">
        <v>13</v>
      </c>
      <c r="M108" s="4" t="s">
        <v>14</v>
      </c>
      <c r="N108" s="4" t="s">
        <v>15</v>
      </c>
      <c r="O108" s="4" t="s">
        <v>16</v>
      </c>
      <c r="P108" s="4" t="s">
        <v>17</v>
      </c>
      <c r="Q108" s="4" t="s">
        <v>18</v>
      </c>
      <c r="R108" s="4" t="s">
        <v>19</v>
      </c>
      <c r="S108" s="4" t="s">
        <v>20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3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25" t="s">
        <v>163</v>
      </c>
      <c r="B109" s="11" t="s">
        <v>22</v>
      </c>
      <c r="C109" s="11" t="s">
        <v>23</v>
      </c>
      <c r="D109" s="11" t="s">
        <v>3</v>
      </c>
      <c r="E109" s="11" t="s">
        <v>4</v>
      </c>
      <c r="F109" s="11" t="s">
        <v>24</v>
      </c>
      <c r="G109" s="11" t="s">
        <v>25</v>
      </c>
      <c r="H109" s="11" t="s">
        <v>26</v>
      </c>
      <c r="I109" s="12" t="s">
        <v>27</v>
      </c>
      <c r="J109" s="11" t="s">
        <v>28</v>
      </c>
      <c r="K109" s="11" t="s">
        <v>29</v>
      </c>
      <c r="L109" s="11" t="s">
        <v>30</v>
      </c>
      <c r="M109" s="11" t="s">
        <v>31</v>
      </c>
      <c r="N109" s="11" t="s">
        <v>32</v>
      </c>
      <c r="O109" s="11" t="s">
        <v>33</v>
      </c>
      <c r="P109" s="11" t="s">
        <v>20</v>
      </c>
      <c r="Q109" s="11"/>
      <c r="R109" s="11"/>
      <c r="S109" s="11"/>
      <c r="T109" s="11" t="s">
        <v>34</v>
      </c>
      <c r="U109" s="11" t="s">
        <v>35</v>
      </c>
      <c r="V109" s="11" t="s">
        <v>36</v>
      </c>
      <c r="W109" s="11" t="s">
        <v>37</v>
      </c>
      <c r="X109" s="11" t="s">
        <v>38</v>
      </c>
      <c r="Y109" s="11" t="s">
        <v>39</v>
      </c>
      <c r="Z109" s="11" t="s">
        <v>40</v>
      </c>
      <c r="AA109" s="11" t="s">
        <v>41</v>
      </c>
      <c r="AB109" s="11" t="s">
        <v>42</v>
      </c>
      <c r="AC109" s="11" t="s">
        <v>43</v>
      </c>
      <c r="AD109" s="11" t="s">
        <v>44</v>
      </c>
      <c r="AE109" s="11" t="s">
        <v>45</v>
      </c>
      <c r="AF109" s="11" t="s">
        <v>46</v>
      </c>
      <c r="AG109" s="11" t="s">
        <v>47</v>
      </c>
      <c r="AH109" s="11" t="s">
        <v>48</v>
      </c>
      <c r="AI109" s="11" t="s">
        <v>49</v>
      </c>
      <c r="AJ109" s="11" t="s">
        <v>50</v>
      </c>
      <c r="AK109" s="13" t="s">
        <v>51</v>
      </c>
    </row>
    <row r="110" spans="1:50" x14ac:dyDescent="0.25">
      <c r="A110" t="s">
        <v>164</v>
      </c>
      <c r="B110" s="16">
        <v>0.53100000000000003</v>
      </c>
      <c r="C110" s="16">
        <v>0.498</v>
      </c>
      <c r="D110" s="15">
        <v>0.44400000000000001</v>
      </c>
      <c r="E110" s="15">
        <v>0.19900000000000001</v>
      </c>
      <c r="F110" s="16">
        <v>1.0999999999999999E-2</v>
      </c>
      <c r="G110" s="16">
        <v>0.05</v>
      </c>
      <c r="H110" s="16">
        <v>0.36799999999999999</v>
      </c>
      <c r="I110" s="23">
        <v>1.6E-2</v>
      </c>
      <c r="J110" s="16">
        <v>8.9999999999999993E-3</v>
      </c>
      <c r="K110" s="18">
        <v>0.14299999999999999</v>
      </c>
      <c r="L110" s="16">
        <v>0.28499999999999998</v>
      </c>
      <c r="M110" s="15">
        <v>110</v>
      </c>
      <c r="N110" s="15">
        <v>95.4</v>
      </c>
      <c r="O110" s="15">
        <v>0.21199999999999999</v>
      </c>
      <c r="P110" s="15">
        <v>8.3000000000000007</v>
      </c>
      <c r="Q110" s="15">
        <v>1.8</v>
      </c>
      <c r="R110" s="15">
        <v>10.1</v>
      </c>
      <c r="S110" s="15">
        <v>24</v>
      </c>
      <c r="T110" s="15">
        <v>4.5</v>
      </c>
      <c r="U110" s="15">
        <v>0.2</v>
      </c>
      <c r="V110" s="15">
        <v>1.08</v>
      </c>
      <c r="W110" s="15">
        <v>1.03</v>
      </c>
      <c r="X110" s="19">
        <f t="shared" ref="X110" si="65">MAX(0,MIN(100,0.45*M110+0.6*H110+0.35*L110-0.2*K110-15))</f>
        <v>34.79195</v>
      </c>
      <c r="Y110" s="19">
        <f t="shared" ref="Y110" si="66">MAX(0,MIN(1,0.012*L110+0.025*P110+0.3*E110+0.2*D110-0.18))</f>
        <v>0.17942000000000002</v>
      </c>
      <c r="Z110" s="19">
        <f t="shared" ref="Z110" si="67">MAX(0,MIN(10,1+0.45*R110+30*O110+0.04*(M110-N110)))</f>
        <v>10</v>
      </c>
      <c r="AA110" s="19">
        <f t="shared" ref="AA110" si="68">MAX(0,MIN(10,3+20*(B110-0.52)+15*(C110-0.5)+0.06*(M110-100)))</f>
        <v>3.7900000000000005</v>
      </c>
      <c r="AB110" s="19">
        <f t="shared" ref="AB110" si="69">MAX(0,MIN(10,0.16*L110+0.55*P110+4*E110))</f>
        <v>5.406600000000001</v>
      </c>
      <c r="AC110" s="19">
        <f t="shared" ref="AC110" si="70">MAX(0,MIN(10,2+0.22*H110-0.12*K110+0.15*P110))</f>
        <v>3.3088000000000002</v>
      </c>
      <c r="AD110" s="19">
        <f t="shared" ref="AD110" si="71">MAX(0,MIN(10,2+0.28*P110+0.1*L110+2*D110+1.5*E110))</f>
        <v>5.5389999999999997</v>
      </c>
      <c r="AE110" s="19">
        <f t="shared" ref="AE110" si="72">MAX(0,MIN(10,0.18*F110+0.08*G110))</f>
        <v>5.9800000000000001E-3</v>
      </c>
      <c r="AF110" s="19">
        <f t="shared" ref="AF110" si="73">MAX(0,MIN(10,4+0.3*Q110+0.6*I110+0.5*J110+0.03*(105-N110)))</f>
        <v>4.8421000000000003</v>
      </c>
      <c r="AG110" s="19">
        <f t="shared" ref="AG110" si="74">0.6*AF110+0.4*T110</f>
        <v>4.70526</v>
      </c>
      <c r="AH110" s="19">
        <f>MAX(0,MIN(10,S110/3.2-2*V110))</f>
        <v>5.34</v>
      </c>
      <c r="AI110" s="19">
        <f t="shared" ref="AI110" si="75">10*(0.18*Z110+0.17*AA110+0.15*AB110+0.14*AC110+0.1*AD110+0.08*AE110+0.1*AG110+0.08*AH110)</f>
        <v>51.706264000000004</v>
      </c>
      <c r="AJ110" s="19">
        <f>AI110*W110</f>
        <v>53.257451920000008</v>
      </c>
      <c r="AK110" s="20">
        <f>AJ110*(P110/200)</f>
        <v>2.2101842546800006</v>
      </c>
    </row>
    <row r="111" spans="1:50" x14ac:dyDescent="0.25">
      <c r="A111" t="s">
        <v>165</v>
      </c>
      <c r="B111" s="15">
        <v>89</v>
      </c>
      <c r="C111" s="15">
        <v>14</v>
      </c>
      <c r="D111" s="16">
        <v>0.53849999999999998</v>
      </c>
      <c r="E111" s="16">
        <v>0.45450000000000002</v>
      </c>
      <c r="F111" s="15">
        <v>0.54</v>
      </c>
      <c r="G111" s="15">
        <v>13.86</v>
      </c>
      <c r="H111" s="15">
        <v>10</v>
      </c>
      <c r="I111" s="17">
        <v>0</v>
      </c>
      <c r="J111" s="15">
        <v>0</v>
      </c>
      <c r="K111" s="15">
        <v>0</v>
      </c>
      <c r="L111" s="18">
        <v>1</v>
      </c>
      <c r="M111" s="18">
        <v>0</v>
      </c>
      <c r="N111" s="16">
        <v>2.7799999999999998E-2</v>
      </c>
      <c r="O111" s="18">
        <v>0</v>
      </c>
      <c r="P111" s="15">
        <v>6</v>
      </c>
      <c r="Q111" s="15"/>
      <c r="R111" s="15"/>
      <c r="S111" s="15"/>
      <c r="T111" s="15">
        <v>3</v>
      </c>
      <c r="U111" s="15">
        <v>0.2</v>
      </c>
      <c r="V111" s="15">
        <v>1</v>
      </c>
      <c r="W111" s="15">
        <v>0.96</v>
      </c>
      <c r="X111" s="19">
        <f>IF(B111=0,0,100*(C111+2*H111+3*I111)/B111)</f>
        <v>38.202247191011239</v>
      </c>
      <c r="Y111" s="19">
        <f>IF(C111=0,0,(J111+K111)/C111)</f>
        <v>0</v>
      </c>
      <c r="Z111" s="19"/>
      <c r="AA111" s="19">
        <f>MAX(0,MIN(10,5+50*(D111-0.55)+25*(E111-F111)))</f>
        <v>2.2874999999999965</v>
      </c>
      <c r="AB111" s="19">
        <f>MAX(0,MIN(10,0.2*G111+5*Y111))</f>
        <v>2.7720000000000002</v>
      </c>
      <c r="AC111" s="19">
        <f t="shared" ref="AC111:AC126" si="76">MAX(0,MIN(10,X111/4))</f>
        <v>9.5505617977528097</v>
      </c>
      <c r="AD111" s="19">
        <f>MAX(0,MIN(10,2+0.15*G111+4*Y111-0.03*((L111+M111)/2)))</f>
        <v>4.0640000000000001</v>
      </c>
      <c r="AE111" s="19">
        <f>MAX(0,MIN(10,0.15*N111+0.08*O111))</f>
        <v>4.1699999999999992E-3</v>
      </c>
      <c r="AF111" s="19"/>
      <c r="AG111" s="19"/>
      <c r="AH111" s="19">
        <f>MAX(0,MIN(10,P111/3.2-2*V111))</f>
        <v>0</v>
      </c>
      <c r="AI111" s="19">
        <f>10*(0.22*AA111+0.2*AB111+0.18*AC111+0.12*AD111+0.1*AE111+0.13*T111+0.05*AH111)</f>
        <v>36.548481235955052</v>
      </c>
      <c r="AJ111" s="19">
        <f>AI111*W111</f>
        <v>35.086541986516849</v>
      </c>
      <c r="AK111" s="20">
        <f>AJ111*(P111/200)</f>
        <v>1.0525962595955054</v>
      </c>
    </row>
    <row r="112" spans="1:50" x14ac:dyDescent="0.25">
      <c r="A112" t="s">
        <v>166</v>
      </c>
      <c r="B112" s="15">
        <v>2733</v>
      </c>
      <c r="C112" s="15">
        <v>657</v>
      </c>
      <c r="D112" s="16">
        <v>0.60609999999999997</v>
      </c>
      <c r="E112" s="16">
        <v>0.55589999999999995</v>
      </c>
      <c r="F112" s="15">
        <v>0.49</v>
      </c>
      <c r="G112" s="15">
        <v>20.29</v>
      </c>
      <c r="H112" s="15">
        <v>198</v>
      </c>
      <c r="I112" s="17">
        <v>219</v>
      </c>
      <c r="J112" s="15">
        <v>86</v>
      </c>
      <c r="K112" s="15">
        <v>24</v>
      </c>
      <c r="L112" s="16">
        <v>0.69720000000000004</v>
      </c>
      <c r="M112" s="16">
        <v>0.9012</v>
      </c>
      <c r="N112" s="16">
        <v>2.3300000000000001E-2</v>
      </c>
      <c r="O112" s="16">
        <v>0.1095</v>
      </c>
      <c r="P112" s="15">
        <v>33</v>
      </c>
      <c r="Q112" s="15"/>
      <c r="R112" s="15"/>
      <c r="S112" s="15"/>
      <c r="T112" s="15">
        <v>5.5</v>
      </c>
      <c r="U112" s="15">
        <v>0.2</v>
      </c>
      <c r="V112" s="15">
        <v>1.05</v>
      </c>
      <c r="W112" s="15">
        <v>1.03</v>
      </c>
      <c r="X112" s="19">
        <f>IF(B112=0,0,100*(C112+2*H112+3*I112)/B112)</f>
        <v>62.568605927552142</v>
      </c>
      <c r="Y112" s="19">
        <f>IF(C112=0,0,(J112+K112)/C112)</f>
        <v>0.16742770167427701</v>
      </c>
      <c r="Z112" s="19"/>
      <c r="AA112" s="19">
        <f>MAX(0,MIN(10,5+50*(D112-0.55)+25*(E112-F112)))</f>
        <v>9.4524999999999952</v>
      </c>
      <c r="AB112" s="19">
        <f>MAX(0,MIN(10,0.2*G112+5*Y112))</f>
        <v>4.8951385083713852</v>
      </c>
      <c r="AC112" s="19">
        <f t="shared" si="76"/>
        <v>10</v>
      </c>
      <c r="AD112" s="19">
        <f>MAX(0,MIN(10,2+0.15*G112+4*Y112-0.03*((L112+M112)/2)))</f>
        <v>5.6892348066971072</v>
      </c>
      <c r="AE112" s="19">
        <f>MAX(0,MIN(10,0.15*N112+0.08*O112))</f>
        <v>1.2255E-2</v>
      </c>
      <c r="AF112" s="19"/>
      <c r="AG112" s="19"/>
      <c r="AH112" s="19">
        <f>MAX(0,MIN(10,P112/3.2-2*V112))</f>
        <v>8.2125000000000004</v>
      </c>
      <c r="AI112" s="19">
        <f>10*(0.22*AA112+0.2*AB112+0.18*AC112+0.12*AD112+0.1*AE112+0.13*T112+0.05*AH112)</f>
        <v>66.681363784779279</v>
      </c>
      <c r="AJ112" s="19">
        <f>AI112*W112</f>
        <v>68.681804698322665</v>
      </c>
      <c r="AK112" s="20">
        <f>AJ112*(P112/200)</f>
        <v>11.33249777522324</v>
      </c>
    </row>
    <row r="113" spans="1:50" x14ac:dyDescent="0.25">
      <c r="A113" t="s">
        <v>167</v>
      </c>
      <c r="B113" s="15">
        <v>997</v>
      </c>
      <c r="C113" s="15">
        <v>165</v>
      </c>
      <c r="D113" s="16">
        <v>0.49399999999999999</v>
      </c>
      <c r="E113" s="16">
        <v>0.4748</v>
      </c>
      <c r="F113" s="15">
        <v>0.46</v>
      </c>
      <c r="G113" s="15">
        <v>16.559999999999999</v>
      </c>
      <c r="H113" s="15">
        <v>42</v>
      </c>
      <c r="I113" s="17">
        <v>54</v>
      </c>
      <c r="J113" s="15">
        <v>52</v>
      </c>
      <c r="K113" s="15">
        <v>3</v>
      </c>
      <c r="L113" s="16">
        <v>0.44679999999999997</v>
      </c>
      <c r="M113" s="16">
        <v>0.94740000000000002</v>
      </c>
      <c r="N113" s="16">
        <v>2.41E-2</v>
      </c>
      <c r="O113" s="16">
        <v>8.7499999999999994E-2</v>
      </c>
      <c r="P113" s="15">
        <v>13</v>
      </c>
      <c r="Q113" s="15"/>
      <c r="R113" s="15"/>
      <c r="S113" s="15"/>
      <c r="T113" s="15">
        <v>5</v>
      </c>
      <c r="U113" s="15">
        <v>0.2</v>
      </c>
      <c r="V113" s="15">
        <v>1</v>
      </c>
      <c r="W113" s="15">
        <v>1</v>
      </c>
      <c r="X113" s="19">
        <f>IF(B113=0,0,100*(C113+2*H113+3*I113)/B113)</f>
        <v>41.223671013039116</v>
      </c>
      <c r="Y113" s="19">
        <f>IF(C113=0,0,(J113+K113)/C113)</f>
        <v>0.33333333333333331</v>
      </c>
      <c r="Z113" s="19"/>
      <c r="AA113" s="19">
        <f>MAX(0,MIN(10,5+50*(D113-0.55)+25*(E113-F113)))</f>
        <v>2.5699999999999972</v>
      </c>
      <c r="AB113" s="19">
        <f>MAX(0,MIN(10,0.2*G113+5*Y113))</f>
        <v>4.9786666666666664</v>
      </c>
      <c r="AC113" s="19">
        <f t="shared" si="76"/>
        <v>10</v>
      </c>
      <c r="AD113" s="19">
        <f>MAX(0,MIN(10,2+0.15*G113+4*Y113-0.03*((L113+M113)/2)))</f>
        <v>5.7964203333333328</v>
      </c>
      <c r="AE113" s="19">
        <f>MAX(0,MIN(10,0.15*N113+0.08*O113))</f>
        <v>1.0614999999999999E-2</v>
      </c>
      <c r="AF113" s="19"/>
      <c r="AG113" s="19"/>
      <c r="AH113" s="19">
        <f>MAX(0,MIN(10,P113/3.2-2*V113))</f>
        <v>2.0625</v>
      </c>
      <c r="AI113" s="19">
        <f>10*(0.22*AA113+0.2*AB113+0.18*AC113+0.12*AD113+0.1*AE113+0.13*T113+0.05*AH113)</f>
        <v>48.108902733333323</v>
      </c>
      <c r="AJ113" s="19">
        <f>AI113*W113</f>
        <v>48.108902733333323</v>
      </c>
      <c r="AK113" s="20">
        <f>AJ113*(P113/200)</f>
        <v>3.1270786776666659</v>
      </c>
    </row>
    <row r="114" spans="1:50" x14ac:dyDescent="0.25">
      <c r="A114" t="s">
        <v>168</v>
      </c>
      <c r="B114" s="16">
        <v>0.59699999999999998</v>
      </c>
      <c r="C114" s="16">
        <v>0.58199999999999996</v>
      </c>
      <c r="D114" s="15">
        <v>4.0000000000000001E-3</v>
      </c>
      <c r="E114" s="15">
        <v>0.249</v>
      </c>
      <c r="F114" s="16">
        <v>0.157</v>
      </c>
      <c r="G114" s="16">
        <v>0.19900000000000001</v>
      </c>
      <c r="H114" s="16">
        <v>0.21199999999999999</v>
      </c>
      <c r="I114" s="23">
        <v>2.1000000000000001E-2</v>
      </c>
      <c r="J114" s="16">
        <v>7.4999999999999997E-2</v>
      </c>
      <c r="K114" s="18">
        <v>0.13400000000000001</v>
      </c>
      <c r="L114" s="16">
        <v>0.28499999999999998</v>
      </c>
      <c r="M114" s="15">
        <v>124.2</v>
      </c>
      <c r="N114" s="15">
        <v>78.3</v>
      </c>
      <c r="O114" s="15">
        <v>0.36899999999999999</v>
      </c>
      <c r="P114" s="15">
        <v>12.2</v>
      </c>
      <c r="Q114" s="15">
        <v>7.8</v>
      </c>
      <c r="R114" s="15">
        <v>20</v>
      </c>
      <c r="S114" s="15">
        <v>28</v>
      </c>
      <c r="T114" s="15">
        <v>8.5</v>
      </c>
      <c r="U114" s="15">
        <v>0.2</v>
      </c>
      <c r="V114" s="15">
        <v>1.1000000000000001</v>
      </c>
      <c r="W114" s="15">
        <v>1.05</v>
      </c>
      <c r="X114" s="19">
        <f t="shared" ref="X114:X123" si="77">MAX(0,MIN(100,0.45*M114+0.6*H114+0.35*L114-0.2*K114-15))</f>
        <v>41.090150000000001</v>
      </c>
      <c r="Y114" s="19">
        <f t="shared" ref="Y114:Y123" si="78">MAX(0,MIN(1,0.012*L114+0.025*P114+0.3*E114+0.2*D114-0.18))</f>
        <v>0.20391999999999999</v>
      </c>
      <c r="Z114" s="19">
        <f t="shared" ref="Z114:Z123" si="79">MAX(0,MIN(10,1+0.45*R114+30*O114+0.04*(M114-N114)))</f>
        <v>10</v>
      </c>
      <c r="AA114" s="19">
        <f t="shared" ref="AA114:AA123" si="80">MAX(0,MIN(10,3+20*(B114-0.52)+15*(C114-0.5)+0.06*(M114-100)))</f>
        <v>7.2219999999999986</v>
      </c>
      <c r="AB114" s="19">
        <f t="shared" ref="AB114:AB123" si="81">MAX(0,MIN(10,0.16*L114+0.55*P114+4*E114))</f>
        <v>7.7515999999999998</v>
      </c>
      <c r="AC114" s="19">
        <f t="shared" ref="AC114:AC123" si="82">MAX(0,MIN(10,2+0.22*H114-0.12*K114+0.15*P114))</f>
        <v>3.8605599999999995</v>
      </c>
      <c r="AD114" s="19">
        <f t="shared" ref="AD114:AD123" si="83">MAX(0,MIN(10,2+0.28*P114+0.1*L114+2*D114+1.5*E114))</f>
        <v>5.8260000000000005</v>
      </c>
      <c r="AE114" s="19">
        <f t="shared" ref="AE114:AE123" si="84">MAX(0,MIN(10,0.18*F114+0.08*G114))</f>
        <v>4.4179999999999997E-2</v>
      </c>
      <c r="AF114" s="19">
        <f t="shared" ref="AF114:AF123" si="85">MAX(0,MIN(10,4+0.3*Q114+0.6*I114+0.5*J114+0.03*(105-N114)))</f>
        <v>7.1910999999999996</v>
      </c>
      <c r="AG114" s="19">
        <f t="shared" ref="AG114:AG123" si="86">0.6*AF114+0.4*T114</f>
        <v>7.7146600000000003</v>
      </c>
      <c r="AH114" s="19">
        <f t="shared" ref="AH114:AH123" si="87">MAX(0,MIN(10,S114/3.2-2*U114))</f>
        <v>8.35</v>
      </c>
      <c r="AI114" s="19">
        <f t="shared" ref="AI114:AI123" si="88">10*(0.18*Z114+0.17*AA114+0.15*AB114+0.14*AC114+0.1*AD114+0.08*AE114+0.1*AG114+0.08*AH114)</f>
        <v>67.565587999999991</v>
      </c>
      <c r="AJ114" s="19">
        <f t="shared" ref="AJ114:AJ123" si="89">AI114*V114*W114</f>
        <v>78.038254140000006</v>
      </c>
      <c r="AK114" s="20">
        <f t="shared" ref="AK114:AK123" si="90">AJ114*(P114/200)</f>
        <v>4.76033350254</v>
      </c>
    </row>
    <row r="115" spans="1:50" x14ac:dyDescent="0.25">
      <c r="A115" t="s">
        <v>169</v>
      </c>
      <c r="B115" s="16">
        <v>0.53300000000000003</v>
      </c>
      <c r="C115" s="16">
        <v>0.48399999999999999</v>
      </c>
      <c r="D115" s="15">
        <v>0.23100000000000001</v>
      </c>
      <c r="E115" s="15">
        <v>0.436</v>
      </c>
      <c r="F115" s="16">
        <v>4.5999999999999999E-2</v>
      </c>
      <c r="G115" s="16">
        <v>0.14699999999999999</v>
      </c>
      <c r="H115" s="16">
        <v>0.22900000000000001</v>
      </c>
      <c r="I115" s="23">
        <v>2.1000000000000001E-2</v>
      </c>
      <c r="J115" s="16">
        <v>1.4E-2</v>
      </c>
      <c r="K115" s="18">
        <v>0.13100000000000001</v>
      </c>
      <c r="L115" s="16">
        <v>0.32500000000000001</v>
      </c>
      <c r="M115" s="15">
        <v>111.3</v>
      </c>
      <c r="N115" s="15">
        <v>89.1</v>
      </c>
      <c r="O115" s="15">
        <v>0.26700000000000002</v>
      </c>
      <c r="P115" s="15">
        <v>8.9</v>
      </c>
      <c r="Q115" s="15">
        <v>3.1</v>
      </c>
      <c r="R115" s="15">
        <v>12</v>
      </c>
      <c r="S115" s="15">
        <v>20</v>
      </c>
      <c r="T115" s="15">
        <v>6</v>
      </c>
      <c r="U115" s="15">
        <v>0.2</v>
      </c>
      <c r="V115" s="15">
        <v>1.05</v>
      </c>
      <c r="W115" s="15">
        <v>1</v>
      </c>
      <c r="X115" s="19">
        <f t="shared" si="77"/>
        <v>35.309950000000001</v>
      </c>
      <c r="Y115" s="19">
        <f t="shared" si="78"/>
        <v>0.22340000000000004</v>
      </c>
      <c r="Z115" s="19">
        <f t="shared" si="79"/>
        <v>10</v>
      </c>
      <c r="AA115" s="19">
        <f t="shared" si="80"/>
        <v>3.698</v>
      </c>
      <c r="AB115" s="19">
        <f t="shared" si="81"/>
        <v>6.6909999999999998</v>
      </c>
      <c r="AC115" s="19">
        <f t="shared" si="82"/>
        <v>3.3696600000000001</v>
      </c>
      <c r="AD115" s="19">
        <f t="shared" si="83"/>
        <v>5.6405000000000003</v>
      </c>
      <c r="AE115" s="19">
        <f t="shared" si="84"/>
        <v>2.0039999999999999E-2</v>
      </c>
      <c r="AF115" s="19">
        <f t="shared" si="85"/>
        <v>5.4265999999999996</v>
      </c>
      <c r="AG115" s="19">
        <f t="shared" si="86"/>
        <v>5.6559600000000003</v>
      </c>
      <c r="AH115" s="19">
        <f t="shared" si="87"/>
        <v>5.85</v>
      </c>
      <c r="AI115" s="19">
        <f t="shared" si="88"/>
        <v>55.033116</v>
      </c>
      <c r="AJ115" s="19">
        <f t="shared" si="89"/>
        <v>57.784771800000001</v>
      </c>
      <c r="AK115" s="20">
        <f t="shared" si="90"/>
        <v>2.5714223451000002</v>
      </c>
    </row>
    <row r="116" spans="1:50" x14ac:dyDescent="0.25">
      <c r="A116" t="s">
        <v>170</v>
      </c>
      <c r="B116" s="16">
        <v>0.502</v>
      </c>
      <c r="C116" s="16">
        <v>0.47399999999999998</v>
      </c>
      <c r="D116" s="15">
        <v>9.9000000000000005E-2</v>
      </c>
      <c r="E116" s="15">
        <v>0.23499999999999999</v>
      </c>
      <c r="F116" s="16">
        <v>1.4E-2</v>
      </c>
      <c r="G116" s="16">
        <v>0.122</v>
      </c>
      <c r="H116" s="16">
        <v>0.3</v>
      </c>
      <c r="I116" s="23">
        <v>5.1999999999999998E-2</v>
      </c>
      <c r="J116" s="16">
        <v>6.0000000000000001E-3</v>
      </c>
      <c r="K116" s="18">
        <v>0.16600000000000001</v>
      </c>
      <c r="L116" s="16">
        <v>0.155</v>
      </c>
      <c r="M116" s="15">
        <v>115.6</v>
      </c>
      <c r="N116" s="15">
        <v>75.5</v>
      </c>
      <c r="O116" s="15">
        <v>0.249</v>
      </c>
      <c r="P116" s="15">
        <v>6.9</v>
      </c>
      <c r="Q116" s="15">
        <v>9.3000000000000007</v>
      </c>
      <c r="R116" s="15">
        <v>16.2</v>
      </c>
      <c r="S116" s="15">
        <v>22</v>
      </c>
      <c r="T116" s="15">
        <v>8.5</v>
      </c>
      <c r="U116" s="15">
        <v>0.2</v>
      </c>
      <c r="V116" s="15">
        <v>1.05</v>
      </c>
      <c r="W116" s="15">
        <v>1.01</v>
      </c>
      <c r="X116" s="19">
        <f t="shared" si="77"/>
        <v>37.221049999999998</v>
      </c>
      <c r="Y116" s="19">
        <f t="shared" si="78"/>
        <v>8.4660000000000013E-2</v>
      </c>
      <c r="Z116" s="19">
        <f t="shared" si="79"/>
        <v>10</v>
      </c>
      <c r="AA116" s="19">
        <f t="shared" si="80"/>
        <v>3.1859999999999986</v>
      </c>
      <c r="AB116" s="19">
        <f t="shared" si="81"/>
        <v>4.7598000000000003</v>
      </c>
      <c r="AC116" s="19">
        <f t="shared" si="82"/>
        <v>3.08108</v>
      </c>
      <c r="AD116" s="19">
        <f t="shared" si="83"/>
        <v>4.4980000000000002</v>
      </c>
      <c r="AE116" s="19">
        <f t="shared" si="84"/>
        <v>1.2279999999999999E-2</v>
      </c>
      <c r="AF116" s="19">
        <f t="shared" si="85"/>
        <v>7.7092000000000001</v>
      </c>
      <c r="AG116" s="19">
        <f t="shared" si="86"/>
        <v>8.0255200000000002</v>
      </c>
      <c r="AH116" s="19">
        <f t="shared" si="87"/>
        <v>6.4749999999999996</v>
      </c>
      <c r="AI116" s="19">
        <f t="shared" si="88"/>
        <v>52.582755999999989</v>
      </c>
      <c r="AJ116" s="19">
        <f t="shared" si="89"/>
        <v>55.764012737999991</v>
      </c>
      <c r="AK116" s="20">
        <f t="shared" si="90"/>
        <v>1.9238584394609999</v>
      </c>
    </row>
    <row r="117" spans="1:50" x14ac:dyDescent="0.25">
      <c r="A117" t="s">
        <v>171</v>
      </c>
      <c r="B117" s="16">
        <v>0.57499999999999996</v>
      </c>
      <c r="C117" s="16">
        <v>0.55500000000000005</v>
      </c>
      <c r="D117" s="15">
        <v>0.32800000000000001</v>
      </c>
      <c r="E117" s="15">
        <v>0.19900000000000001</v>
      </c>
      <c r="F117" s="16">
        <v>8.5999999999999993E-2</v>
      </c>
      <c r="G117" s="16">
        <v>0.17499999999999999</v>
      </c>
      <c r="H117" s="16">
        <v>0.13800000000000001</v>
      </c>
      <c r="I117" s="23">
        <v>2.7E-2</v>
      </c>
      <c r="J117" s="16">
        <v>2.7E-2</v>
      </c>
      <c r="K117" s="18">
        <v>0.191</v>
      </c>
      <c r="L117" s="16">
        <v>0.19400000000000001</v>
      </c>
      <c r="M117" s="15">
        <v>113.5</v>
      </c>
      <c r="N117" s="15">
        <v>80.900000000000006</v>
      </c>
      <c r="O117" s="15">
        <v>0.23300000000000001</v>
      </c>
      <c r="P117" s="15">
        <v>6.2</v>
      </c>
      <c r="Q117" s="15">
        <v>5.8</v>
      </c>
      <c r="R117" s="15">
        <v>12</v>
      </c>
      <c r="S117" s="15">
        <v>14</v>
      </c>
      <c r="T117" s="15">
        <v>6.5</v>
      </c>
      <c r="U117" s="15">
        <v>0.2</v>
      </c>
      <c r="V117" s="15">
        <v>0.98</v>
      </c>
      <c r="W117" s="15">
        <v>0.98</v>
      </c>
      <c r="X117" s="19">
        <f t="shared" si="77"/>
        <v>36.1875</v>
      </c>
      <c r="Y117" s="19">
        <f t="shared" si="78"/>
        <v>0.10262800000000005</v>
      </c>
      <c r="Z117" s="19">
        <f t="shared" si="79"/>
        <v>10</v>
      </c>
      <c r="AA117" s="19">
        <f t="shared" si="80"/>
        <v>5.7349999999999994</v>
      </c>
      <c r="AB117" s="19">
        <f t="shared" si="81"/>
        <v>4.2370400000000004</v>
      </c>
      <c r="AC117" s="19">
        <f t="shared" si="82"/>
        <v>2.9374399999999996</v>
      </c>
      <c r="AD117" s="19">
        <f t="shared" si="83"/>
        <v>4.7099000000000002</v>
      </c>
      <c r="AE117" s="19">
        <f t="shared" si="84"/>
        <v>2.9479999999999999E-2</v>
      </c>
      <c r="AF117" s="19">
        <f t="shared" si="85"/>
        <v>6.4927000000000001</v>
      </c>
      <c r="AG117" s="19">
        <f t="shared" si="86"/>
        <v>6.4956200000000006</v>
      </c>
      <c r="AH117" s="19">
        <f t="shared" si="87"/>
        <v>3.9750000000000001</v>
      </c>
      <c r="AI117" s="19">
        <f t="shared" si="88"/>
        <v>52.626580000000004</v>
      </c>
      <c r="AJ117" s="19">
        <f t="shared" si="89"/>
        <v>50.542567431999998</v>
      </c>
      <c r="AK117" s="20">
        <f t="shared" si="90"/>
        <v>1.5668195903919999</v>
      </c>
    </row>
    <row r="118" spans="1:50" x14ac:dyDescent="0.25">
      <c r="A118" t="s">
        <v>172</v>
      </c>
      <c r="B118" s="16">
        <v>0.54900000000000004</v>
      </c>
      <c r="C118" s="16">
        <v>0.51500000000000001</v>
      </c>
      <c r="D118" s="15">
        <v>0.152</v>
      </c>
      <c r="E118" s="15">
        <v>0.314</v>
      </c>
      <c r="F118" s="16">
        <v>7.6999999999999999E-2</v>
      </c>
      <c r="G118" s="16">
        <v>0.15</v>
      </c>
      <c r="H118" s="16">
        <v>8.6999999999999994E-2</v>
      </c>
      <c r="I118" s="23">
        <v>2.7E-2</v>
      </c>
      <c r="J118" s="16">
        <v>3.3000000000000002E-2</v>
      </c>
      <c r="K118" s="18">
        <v>0.14599999999999999</v>
      </c>
      <c r="L118" s="16">
        <v>0.20899999999999999</v>
      </c>
      <c r="M118" s="15">
        <v>108.5</v>
      </c>
      <c r="N118" s="15">
        <v>90.2</v>
      </c>
      <c r="O118" s="15">
        <v>0.182</v>
      </c>
      <c r="P118" s="15">
        <v>5</v>
      </c>
      <c r="Q118" s="15">
        <v>2.8</v>
      </c>
      <c r="R118" s="15">
        <v>7.7</v>
      </c>
      <c r="S118" s="15">
        <v>8</v>
      </c>
      <c r="T118" s="15">
        <v>7</v>
      </c>
      <c r="U118" s="15">
        <v>0.2</v>
      </c>
      <c r="V118" s="15">
        <v>0.95</v>
      </c>
      <c r="W118" s="15">
        <v>0.95</v>
      </c>
      <c r="X118" s="19">
        <f t="shared" si="77"/>
        <v>33.921149999999997</v>
      </c>
      <c r="Y118" s="19">
        <f t="shared" si="78"/>
        <v>7.2108000000000005E-2</v>
      </c>
      <c r="Z118" s="19">
        <f t="shared" si="79"/>
        <v>10</v>
      </c>
      <c r="AA118" s="19">
        <f t="shared" si="80"/>
        <v>4.3150000000000004</v>
      </c>
      <c r="AB118" s="19">
        <f t="shared" si="81"/>
        <v>4.0394399999999999</v>
      </c>
      <c r="AC118" s="19">
        <f t="shared" si="82"/>
        <v>2.75162</v>
      </c>
      <c r="AD118" s="19">
        <f t="shared" si="83"/>
        <v>4.1959</v>
      </c>
      <c r="AE118" s="19">
        <f t="shared" si="84"/>
        <v>2.5860000000000001E-2</v>
      </c>
      <c r="AF118" s="19">
        <f t="shared" si="85"/>
        <v>5.3167</v>
      </c>
      <c r="AG118" s="19">
        <f t="shared" si="86"/>
        <v>5.9900200000000003</v>
      </c>
      <c r="AH118" s="19">
        <f t="shared" si="87"/>
        <v>2.1</v>
      </c>
      <c r="AI118" s="19">
        <f t="shared" si="88"/>
        <v>47.133536000000007</v>
      </c>
      <c r="AJ118" s="19">
        <f t="shared" si="89"/>
        <v>42.538016240000005</v>
      </c>
      <c r="AK118" s="20">
        <f t="shared" si="90"/>
        <v>1.0634504060000001</v>
      </c>
    </row>
    <row r="119" spans="1:50" x14ac:dyDescent="0.25">
      <c r="A119" t="s">
        <v>173</v>
      </c>
      <c r="B119" s="16">
        <v>0.626</v>
      </c>
      <c r="C119" s="16">
        <v>0.60099999999999998</v>
      </c>
      <c r="D119" s="15">
        <v>0</v>
      </c>
      <c r="E119" s="15">
        <v>0.41599999999999998</v>
      </c>
      <c r="F119" s="16">
        <v>0.13300000000000001</v>
      </c>
      <c r="G119" s="16">
        <v>0.20699999999999999</v>
      </c>
      <c r="H119" s="16">
        <v>8.5999999999999993E-2</v>
      </c>
      <c r="I119" s="23">
        <v>2.5999999999999999E-2</v>
      </c>
      <c r="J119" s="16">
        <v>2.3E-2</v>
      </c>
      <c r="K119" s="18">
        <v>0.16500000000000001</v>
      </c>
      <c r="L119" s="16">
        <v>0.20200000000000001</v>
      </c>
      <c r="M119" s="15">
        <v>120</v>
      </c>
      <c r="N119" s="15">
        <v>84.9</v>
      </c>
      <c r="O119" s="15">
        <v>0.255</v>
      </c>
      <c r="P119" s="15">
        <v>7.4</v>
      </c>
      <c r="Q119" s="15">
        <v>3.7</v>
      </c>
      <c r="R119" s="15">
        <v>11.2</v>
      </c>
      <c r="S119" s="15">
        <v>12</v>
      </c>
      <c r="T119" s="15">
        <v>6.5</v>
      </c>
      <c r="U119" s="15">
        <v>0.2</v>
      </c>
      <c r="V119" s="15">
        <v>0.96</v>
      </c>
      <c r="W119" s="15">
        <v>0.95</v>
      </c>
      <c r="X119" s="19">
        <f t="shared" si="77"/>
        <v>39.089300000000001</v>
      </c>
      <c r="Y119" s="19">
        <f t="shared" si="78"/>
        <v>0.13222400000000006</v>
      </c>
      <c r="Z119" s="19">
        <f t="shared" si="79"/>
        <v>10</v>
      </c>
      <c r="AA119" s="19">
        <f t="shared" si="80"/>
        <v>7.8349999999999991</v>
      </c>
      <c r="AB119" s="19">
        <f t="shared" si="81"/>
        <v>5.7663200000000003</v>
      </c>
      <c r="AC119" s="19">
        <f t="shared" si="82"/>
        <v>3.1091199999999999</v>
      </c>
      <c r="AD119" s="19">
        <f t="shared" si="83"/>
        <v>4.7162000000000006</v>
      </c>
      <c r="AE119" s="19">
        <f t="shared" si="84"/>
        <v>4.0499999999999994E-2</v>
      </c>
      <c r="AF119" s="19">
        <f t="shared" si="85"/>
        <v>5.7401</v>
      </c>
      <c r="AG119" s="19">
        <f t="shared" si="86"/>
        <v>6.04406</v>
      </c>
      <c r="AH119" s="19">
        <f t="shared" si="87"/>
        <v>3.35</v>
      </c>
      <c r="AI119" s="19">
        <f t="shared" si="88"/>
        <v>57.794407999999997</v>
      </c>
      <c r="AJ119" s="19">
        <f t="shared" si="89"/>
        <v>52.708500095999995</v>
      </c>
      <c r="AK119" s="20">
        <f t="shared" si="90"/>
        <v>1.950214503552</v>
      </c>
    </row>
    <row r="120" spans="1:50" x14ac:dyDescent="0.25">
      <c r="A120" t="s">
        <v>174</v>
      </c>
      <c r="B120" s="16">
        <v>0.61899999999999999</v>
      </c>
      <c r="C120" s="16">
        <v>0.57899999999999996</v>
      </c>
      <c r="D120" s="15">
        <v>5.5E-2</v>
      </c>
      <c r="E120" s="15">
        <v>0.39900000000000002</v>
      </c>
      <c r="F120" s="16">
        <v>0.15</v>
      </c>
      <c r="G120" s="16">
        <v>0.17299999999999999</v>
      </c>
      <c r="H120" s="16">
        <v>7.0999999999999994E-2</v>
      </c>
      <c r="I120" s="23">
        <v>2.3E-2</v>
      </c>
      <c r="J120" s="16">
        <v>1.2999999999999999E-2</v>
      </c>
      <c r="K120" s="18">
        <v>0.14799999999999999</v>
      </c>
      <c r="L120" s="16">
        <v>0.22</v>
      </c>
      <c r="M120" s="15">
        <v>121.6</v>
      </c>
      <c r="N120" s="15">
        <v>83.7</v>
      </c>
      <c r="O120" s="15">
        <v>0.27300000000000002</v>
      </c>
      <c r="P120" s="15">
        <v>7.8</v>
      </c>
      <c r="Q120" s="15">
        <v>4</v>
      </c>
      <c r="R120" s="15">
        <v>11.8</v>
      </c>
      <c r="S120" s="15">
        <v>11</v>
      </c>
      <c r="T120" s="15">
        <v>6</v>
      </c>
      <c r="U120" s="15">
        <v>0.2</v>
      </c>
      <c r="V120" s="15">
        <v>0.96</v>
      </c>
      <c r="W120" s="15">
        <v>0.95</v>
      </c>
      <c r="X120" s="19">
        <f t="shared" si="77"/>
        <v>39.809999999999995</v>
      </c>
      <c r="Y120" s="19">
        <f t="shared" si="78"/>
        <v>0.14834000000000003</v>
      </c>
      <c r="Z120" s="19">
        <f t="shared" si="79"/>
        <v>10</v>
      </c>
      <c r="AA120" s="19">
        <f t="shared" si="80"/>
        <v>7.4609999999999985</v>
      </c>
      <c r="AB120" s="19">
        <f t="shared" si="81"/>
        <v>5.9211999999999998</v>
      </c>
      <c r="AC120" s="19">
        <f t="shared" si="82"/>
        <v>3.1678600000000001</v>
      </c>
      <c r="AD120" s="19">
        <f t="shared" si="83"/>
        <v>4.9145000000000003</v>
      </c>
      <c r="AE120" s="19">
        <f t="shared" si="84"/>
        <v>4.0840000000000001E-2</v>
      </c>
      <c r="AF120" s="19">
        <f t="shared" si="85"/>
        <v>5.8593000000000002</v>
      </c>
      <c r="AG120" s="19">
        <f t="shared" si="86"/>
        <v>5.9155800000000003</v>
      </c>
      <c r="AH120" s="19">
        <f t="shared" si="87"/>
        <v>3.0375000000000001</v>
      </c>
      <c r="AI120" s="19">
        <f t="shared" si="88"/>
        <v>57.293256000000014</v>
      </c>
      <c r="AJ120" s="19">
        <f t="shared" si="89"/>
        <v>52.251449472000012</v>
      </c>
      <c r="AK120" s="20">
        <f t="shared" si="90"/>
        <v>2.0378065294080003</v>
      </c>
    </row>
    <row r="121" spans="1:50" x14ac:dyDescent="0.25">
      <c r="A121" t="s">
        <v>175</v>
      </c>
      <c r="B121" s="16">
        <v>0.50700000000000001</v>
      </c>
      <c r="C121" s="16">
        <v>0.45500000000000002</v>
      </c>
      <c r="D121" s="15">
        <v>0.307</v>
      </c>
      <c r="E121" s="15">
        <v>0.39400000000000002</v>
      </c>
      <c r="F121" s="16">
        <v>3.1E-2</v>
      </c>
      <c r="G121" s="16">
        <v>0.13800000000000001</v>
      </c>
      <c r="H121" s="16">
        <v>0.183</v>
      </c>
      <c r="I121" s="23">
        <v>2.1999999999999999E-2</v>
      </c>
      <c r="J121" s="16">
        <v>0.02</v>
      </c>
      <c r="K121" s="18">
        <v>0.153</v>
      </c>
      <c r="L121" s="16">
        <v>0.28799999999999998</v>
      </c>
      <c r="M121" s="15">
        <v>99.8</v>
      </c>
      <c r="N121" s="15">
        <v>91</v>
      </c>
      <c r="O121" s="15">
        <v>0.16500000000000001</v>
      </c>
      <c r="P121" s="15">
        <v>5.5</v>
      </c>
      <c r="Q121" s="15">
        <v>1.8</v>
      </c>
      <c r="R121" s="15">
        <v>7.2</v>
      </c>
      <c r="S121" s="15">
        <v>9</v>
      </c>
      <c r="T121" s="15">
        <v>5</v>
      </c>
      <c r="U121" s="15">
        <v>0.2</v>
      </c>
      <c r="V121" s="15">
        <v>0.97</v>
      </c>
      <c r="W121" s="15">
        <v>0.94</v>
      </c>
      <c r="X121" s="19">
        <f t="shared" si="77"/>
        <v>30.089999999999996</v>
      </c>
      <c r="Y121" s="19">
        <f t="shared" si="78"/>
        <v>0.14055600000000001</v>
      </c>
      <c r="Z121" s="19">
        <f t="shared" si="79"/>
        <v>9.5420000000000016</v>
      </c>
      <c r="AA121" s="19">
        <f t="shared" si="80"/>
        <v>2.0529999999999999</v>
      </c>
      <c r="AB121" s="19">
        <f t="shared" si="81"/>
        <v>4.6470800000000008</v>
      </c>
      <c r="AC121" s="19">
        <f t="shared" si="82"/>
        <v>2.8468999999999998</v>
      </c>
      <c r="AD121" s="19">
        <f t="shared" si="83"/>
        <v>4.7738000000000005</v>
      </c>
      <c r="AE121" s="19">
        <f t="shared" si="84"/>
        <v>1.6620000000000003E-2</v>
      </c>
      <c r="AF121" s="19">
        <f t="shared" si="85"/>
        <v>4.9832000000000001</v>
      </c>
      <c r="AG121" s="19">
        <f t="shared" si="86"/>
        <v>4.9899199999999997</v>
      </c>
      <c r="AH121" s="19">
        <f t="shared" si="87"/>
        <v>2.4125000000000001</v>
      </c>
      <c r="AI121" s="19">
        <f t="shared" si="88"/>
        <v>43.328996000000004</v>
      </c>
      <c r="AJ121" s="19">
        <f t="shared" si="89"/>
        <v>39.507378552799999</v>
      </c>
      <c r="AK121" s="20">
        <f t="shared" si="90"/>
        <v>1.086452910202</v>
      </c>
    </row>
    <row r="122" spans="1:50" x14ac:dyDescent="0.25">
      <c r="A122" t="s">
        <v>176</v>
      </c>
      <c r="B122" s="16">
        <v>0.51500000000000001</v>
      </c>
      <c r="C122" s="16">
        <v>0.49</v>
      </c>
      <c r="D122" s="15">
        <v>0.34799999999999998</v>
      </c>
      <c r="E122" s="15">
        <v>0.216</v>
      </c>
      <c r="F122" s="16">
        <v>8.6999999999999994E-2</v>
      </c>
      <c r="G122" s="16">
        <v>0.22800000000000001</v>
      </c>
      <c r="H122" s="16">
        <v>0.151</v>
      </c>
      <c r="I122" s="23">
        <v>0.02</v>
      </c>
      <c r="J122" s="16">
        <v>3.9E-2</v>
      </c>
      <c r="K122" s="18">
        <v>0.129</v>
      </c>
      <c r="L122" s="16">
        <v>0.25600000000000001</v>
      </c>
      <c r="M122" s="15">
        <v>104</v>
      </c>
      <c r="N122" s="15">
        <v>84.8</v>
      </c>
      <c r="O122" s="15">
        <v>0.20100000000000001</v>
      </c>
      <c r="P122" s="15">
        <v>6.1</v>
      </c>
      <c r="Q122" s="15">
        <v>3</v>
      </c>
      <c r="R122" s="15">
        <v>9.1</v>
      </c>
      <c r="S122" s="15">
        <v>8</v>
      </c>
      <c r="T122" s="15">
        <v>6.5</v>
      </c>
      <c r="U122" s="15">
        <v>0.2</v>
      </c>
      <c r="V122" s="15">
        <v>0.95</v>
      </c>
      <c r="W122" s="15">
        <v>0.93</v>
      </c>
      <c r="X122" s="19">
        <f t="shared" si="77"/>
        <v>31.954400000000007</v>
      </c>
      <c r="Y122" s="19">
        <f t="shared" si="78"/>
        <v>0.10997200000000001</v>
      </c>
      <c r="Z122" s="19">
        <f t="shared" si="79"/>
        <v>10</v>
      </c>
      <c r="AA122" s="19">
        <f t="shared" si="80"/>
        <v>2.99</v>
      </c>
      <c r="AB122" s="19">
        <f t="shared" si="81"/>
        <v>4.2599600000000004</v>
      </c>
      <c r="AC122" s="19">
        <f t="shared" si="82"/>
        <v>2.9327399999999999</v>
      </c>
      <c r="AD122" s="19">
        <f t="shared" si="83"/>
        <v>4.7535999999999996</v>
      </c>
      <c r="AE122" s="19">
        <f t="shared" si="84"/>
        <v>3.39E-2</v>
      </c>
      <c r="AF122" s="19">
        <f t="shared" si="85"/>
        <v>5.5374999999999996</v>
      </c>
      <c r="AG122" s="19">
        <f t="shared" si="86"/>
        <v>5.9224999999999994</v>
      </c>
      <c r="AH122" s="19">
        <f t="shared" si="87"/>
        <v>2.1</v>
      </c>
      <c r="AI122" s="19">
        <f t="shared" si="88"/>
        <v>45.961995999999999</v>
      </c>
      <c r="AJ122" s="19">
        <f t="shared" si="89"/>
        <v>40.607423466</v>
      </c>
      <c r="AK122" s="20">
        <f t="shared" si="90"/>
        <v>1.238526415713</v>
      </c>
    </row>
    <row r="123" spans="1:50" x14ac:dyDescent="0.25">
      <c r="A123" t="s">
        <v>177</v>
      </c>
      <c r="B123" s="16">
        <v>0.56999999999999995</v>
      </c>
      <c r="C123" s="16">
        <v>0.53500000000000003</v>
      </c>
      <c r="D123" s="15">
        <v>0.28000000000000003</v>
      </c>
      <c r="E123" s="15">
        <v>0.34</v>
      </c>
      <c r="F123" s="16">
        <v>0.03</v>
      </c>
      <c r="G123" s="16">
        <v>0.115</v>
      </c>
      <c r="H123" s="16">
        <v>0.23499999999999999</v>
      </c>
      <c r="I123" s="23">
        <v>3.5999999999999997E-2</v>
      </c>
      <c r="J123" s="16">
        <v>4.0000000000000001E-3</v>
      </c>
      <c r="K123" s="18">
        <v>0.14000000000000001</v>
      </c>
      <c r="L123" s="16">
        <v>0.24</v>
      </c>
      <c r="M123" s="15">
        <v>113</v>
      </c>
      <c r="N123" s="15">
        <v>83</v>
      </c>
      <c r="O123" s="15">
        <v>0.25</v>
      </c>
      <c r="P123" s="15">
        <v>8</v>
      </c>
      <c r="Q123" s="15">
        <v>4.5</v>
      </c>
      <c r="R123" s="15">
        <v>12.5</v>
      </c>
      <c r="S123" s="15">
        <v>9</v>
      </c>
      <c r="T123" s="15">
        <v>5.5</v>
      </c>
      <c r="U123" s="15">
        <v>0.2</v>
      </c>
      <c r="V123" s="15">
        <v>0.98</v>
      </c>
      <c r="W123" s="15">
        <v>0.96</v>
      </c>
      <c r="X123" s="19">
        <f t="shared" si="77"/>
        <v>36.047000000000004</v>
      </c>
      <c r="Y123" s="19">
        <f t="shared" si="78"/>
        <v>0.18088000000000004</v>
      </c>
      <c r="Z123" s="19">
        <f t="shared" si="79"/>
        <v>10</v>
      </c>
      <c r="AA123" s="19">
        <f t="shared" si="80"/>
        <v>5.3049999999999997</v>
      </c>
      <c r="AB123" s="19">
        <f t="shared" si="81"/>
        <v>5.7984000000000009</v>
      </c>
      <c r="AC123" s="19">
        <f t="shared" si="82"/>
        <v>3.2348999999999997</v>
      </c>
      <c r="AD123" s="19">
        <f t="shared" si="83"/>
        <v>5.3339999999999996</v>
      </c>
      <c r="AE123" s="19">
        <f t="shared" si="84"/>
        <v>1.4599999999999998E-2</v>
      </c>
      <c r="AF123" s="19">
        <f t="shared" si="85"/>
        <v>6.0335999999999999</v>
      </c>
      <c r="AG123" s="19">
        <f t="shared" si="86"/>
        <v>5.8201599999999996</v>
      </c>
      <c r="AH123" s="19">
        <f t="shared" si="87"/>
        <v>2.4125000000000001</v>
      </c>
      <c r="AI123" s="19">
        <f t="shared" si="88"/>
        <v>53.340800000000002</v>
      </c>
      <c r="AJ123" s="19">
        <f t="shared" si="89"/>
        <v>50.183024639999999</v>
      </c>
      <c r="AK123" s="20">
        <f t="shared" si="90"/>
        <v>2.0073209855999998</v>
      </c>
    </row>
    <row r="124" spans="1:50" x14ac:dyDescent="0.25">
      <c r="A124" t="s">
        <v>178</v>
      </c>
      <c r="B124" s="15">
        <v>1388</v>
      </c>
      <c r="C124" s="15">
        <v>245</v>
      </c>
      <c r="D124" s="16">
        <v>0.52349999999999997</v>
      </c>
      <c r="E124" s="16">
        <v>0.47870000000000001</v>
      </c>
      <c r="F124" s="15">
        <v>0.51</v>
      </c>
      <c r="G124" s="15">
        <v>17.91</v>
      </c>
      <c r="H124" s="15">
        <v>80</v>
      </c>
      <c r="I124" s="17">
        <v>72</v>
      </c>
      <c r="J124" s="15">
        <v>50</v>
      </c>
      <c r="K124" s="15">
        <v>0</v>
      </c>
      <c r="L124" s="16">
        <v>0.61539999999999995</v>
      </c>
      <c r="M124" s="18">
        <v>1</v>
      </c>
      <c r="N124" s="16">
        <v>1.66E-2</v>
      </c>
      <c r="O124" s="16">
        <v>7.1499999999999994E-2</v>
      </c>
      <c r="P124" s="15">
        <v>18</v>
      </c>
      <c r="Q124" s="15"/>
      <c r="R124" s="15"/>
      <c r="S124" s="15"/>
      <c r="T124" s="15">
        <v>4</v>
      </c>
      <c r="U124" s="15">
        <v>0.2</v>
      </c>
      <c r="V124" s="15">
        <v>1</v>
      </c>
      <c r="W124" s="15"/>
      <c r="X124" s="19">
        <f>IF(B124=0,0,100*(C124+2*H124+3*I124)/B124)</f>
        <v>44.740634005763688</v>
      </c>
      <c r="Y124" s="19">
        <f>IF(C124=0,0,(J124+K124)/C124)</f>
        <v>0.20408163265306123</v>
      </c>
      <c r="Z124" s="19"/>
      <c r="AA124" s="19">
        <f>MAX(0,MIN(10,5+50*(D124-0.55)+25*(E124-F124)))</f>
        <v>2.8924999999999965</v>
      </c>
      <c r="AB124" s="19">
        <f>MAX(0,MIN(10,0.2*G124+5*Y124))</f>
        <v>4.6024081632653067</v>
      </c>
      <c r="AC124" s="19">
        <f t="shared" ref="AC124" si="91">MAX(0,MIN(10,X124/4))</f>
        <v>10</v>
      </c>
      <c r="AD124" s="19">
        <f>MAX(0,MIN(10,2+0.15*G124+4*Y124-0.03*((L124+M124)/2)))</f>
        <v>5.4785955306122451</v>
      </c>
      <c r="AE124" s="19">
        <f>MAX(0,MIN(10,0.15*N124+0.08*O124))</f>
        <v>8.2099999999999985E-3</v>
      </c>
      <c r="AF124" s="19"/>
      <c r="AG124" s="19"/>
      <c r="AH124" s="19">
        <f>MAX(0,MIN(10,P124/3.2-2*U124))</f>
        <v>5.2249999999999996</v>
      </c>
      <c r="AI124" s="19">
        <f>10*(0.22*AA124+0.2*AB124+0.18*AC124+0.12*AD124+0.1*AE124+0.13*T124+0.05*AH124)</f>
        <v>47.96334096326531</v>
      </c>
      <c r="AJ124" s="19">
        <f>AI124*V124</f>
        <v>47.96334096326531</v>
      </c>
      <c r="AK124" s="20">
        <f>AJ124*(P124/200)</f>
        <v>4.3167006866938777</v>
      </c>
    </row>
    <row r="125" spans="1:50" x14ac:dyDescent="0.25">
      <c r="A125" t="s">
        <v>179</v>
      </c>
      <c r="B125" s="15">
        <v>1681</v>
      </c>
      <c r="C125" s="15">
        <v>481</v>
      </c>
      <c r="D125" s="16">
        <v>0.51060000000000005</v>
      </c>
      <c r="E125" s="16">
        <v>0.4672</v>
      </c>
      <c r="F125" s="15">
        <v>0.48</v>
      </c>
      <c r="G125" s="15">
        <v>29.58</v>
      </c>
      <c r="H125" s="15">
        <v>258</v>
      </c>
      <c r="I125" s="17">
        <v>6</v>
      </c>
      <c r="J125" s="15">
        <v>120</v>
      </c>
      <c r="K125" s="15">
        <v>0</v>
      </c>
      <c r="L125" s="16">
        <v>0.6825</v>
      </c>
      <c r="M125" s="18">
        <v>1</v>
      </c>
      <c r="N125" s="16">
        <v>6.6699999999999995E-2</v>
      </c>
      <c r="O125" s="16">
        <v>0.23599999999999999</v>
      </c>
      <c r="P125" s="15">
        <v>25</v>
      </c>
      <c r="Q125" s="15"/>
      <c r="R125" s="15"/>
      <c r="S125" s="15"/>
      <c r="T125" s="15">
        <v>8</v>
      </c>
      <c r="U125" s="15">
        <v>0.3</v>
      </c>
      <c r="V125" s="15">
        <v>1</v>
      </c>
      <c r="W125" s="15"/>
      <c r="X125" s="19">
        <f>IF(B125=0,0,100*(C125+2*H125+3*I125)/B125)</f>
        <v>60.380725758477098</v>
      </c>
      <c r="Y125" s="19">
        <f>IF(C125=0,0,(J125+K125)/C125)</f>
        <v>0.24948024948024949</v>
      </c>
      <c r="Z125" s="19"/>
      <c r="AA125" s="19">
        <f>MAX(0,MIN(10,5+50*(D125-0.55)+25*(E125-F125)))</f>
        <v>2.7100000000000009</v>
      </c>
      <c r="AB125" s="19">
        <f>MAX(0,MIN(10,0.2*G125+5*Y125))</f>
        <v>7.1634012474012483</v>
      </c>
      <c r="AC125" s="19">
        <f>MAX(0,MIN(10,X125/4))</f>
        <v>10</v>
      </c>
      <c r="AD125" s="19">
        <f>MAX(0,MIN(10,2+0.15*G125+4*Y125-0.03*((L125+M125)/2)))</f>
        <v>7.4096834979209971</v>
      </c>
      <c r="AE125" s="19">
        <f>MAX(0,MIN(10,0.15*N125+0.08*O125))</f>
        <v>2.8885000000000001E-2</v>
      </c>
      <c r="AF125" s="19"/>
      <c r="AG125" s="19"/>
      <c r="AH125" s="19">
        <f>MAX(0,MIN(10,P125/3.2-2*U125))</f>
        <v>7.2125000000000004</v>
      </c>
      <c r="AI125" s="19">
        <f>10*(0.22*AA125+0.2*AB125+0.18*AC125+0.12*AD125+0.1*AE125+0.13*T125+0.05*AH125)</f>
        <v>61.215557692307698</v>
      </c>
      <c r="AJ125" s="19">
        <f>AI125*V125</f>
        <v>61.215557692307698</v>
      </c>
      <c r="AK125" s="20">
        <f>AJ125*(P125/200)</f>
        <v>7.6519447115384622</v>
      </c>
    </row>
    <row r="126" spans="1:50" x14ac:dyDescent="0.25">
      <c r="A126" t="s">
        <v>180</v>
      </c>
      <c r="B126" s="15">
        <v>2318</v>
      </c>
      <c r="C126" s="15">
        <v>584</v>
      </c>
      <c r="D126" s="16">
        <v>0.54890000000000005</v>
      </c>
      <c r="E126" s="16">
        <v>0.49009999999999998</v>
      </c>
      <c r="F126" s="15">
        <v>0.5</v>
      </c>
      <c r="G126" s="15">
        <v>23.99</v>
      </c>
      <c r="H126" s="15">
        <v>328</v>
      </c>
      <c r="I126" s="17">
        <v>6</v>
      </c>
      <c r="J126" s="15">
        <v>112</v>
      </c>
      <c r="K126" s="15">
        <v>0</v>
      </c>
      <c r="L126" s="16">
        <v>0.74550000000000005</v>
      </c>
      <c r="M126" s="18">
        <v>1</v>
      </c>
      <c r="N126" s="16">
        <v>0.1085</v>
      </c>
      <c r="O126" s="16">
        <v>0.2273</v>
      </c>
      <c r="P126" s="15">
        <v>27</v>
      </c>
      <c r="Q126" s="15"/>
      <c r="R126" s="15"/>
      <c r="S126" s="15"/>
      <c r="T126" s="15">
        <v>8</v>
      </c>
      <c r="U126" s="15">
        <v>0.3</v>
      </c>
      <c r="V126" s="15">
        <v>1.02</v>
      </c>
      <c r="W126" s="15"/>
      <c r="X126" s="19">
        <f>IF(B126=0,0,100*(C126+2*H126+3*I126)/B126)</f>
        <v>54.270923209663501</v>
      </c>
      <c r="Y126" s="19">
        <f>IF(C126=0,0,(J126+K126)/C126)</f>
        <v>0.19178082191780821</v>
      </c>
      <c r="Z126" s="19"/>
      <c r="AA126" s="19">
        <f>MAX(0,MIN(10,5+50*(D126-0.55)+25*(E126-F126)))</f>
        <v>4.6974999999999998</v>
      </c>
      <c r="AB126" s="19">
        <f>MAX(0,MIN(10,0.2*G126+5*Y126))</f>
        <v>5.7569041095890414</v>
      </c>
      <c r="AC126" s="19">
        <f t="shared" si="76"/>
        <v>10</v>
      </c>
      <c r="AD126" s="19">
        <f>MAX(0,MIN(10,2+0.15*G126+4*Y126-0.03*((L126+M126)/2)))</f>
        <v>6.339440787671232</v>
      </c>
      <c r="AE126" s="19">
        <f>MAX(0,MIN(10,0.15*N126+0.08*O126))</f>
        <v>3.4459000000000004E-2</v>
      </c>
      <c r="AF126" s="19"/>
      <c r="AG126" s="19"/>
      <c r="AH126" s="19">
        <f>MAX(0,MIN(10,P126/3.2-2*U126))</f>
        <v>7.8375000000000004</v>
      </c>
      <c r="AI126" s="19">
        <f>10*(0.22*AA126+0.2*AB126+0.18*AC126+0.12*AD126+0.1*AE126+0.13*T126+0.05*AH126)</f>
        <v>61.80884616438356</v>
      </c>
      <c r="AJ126" s="19">
        <f>AI126*V126</f>
        <v>63.045023087671233</v>
      </c>
      <c r="AK126" s="20">
        <f>AJ126*(P126/200)</f>
        <v>8.5110781168356162</v>
      </c>
    </row>
    <row r="127" spans="1:50" s="32" customFormat="1" x14ac:dyDescent="0.25">
      <c r="A127" s="31" t="s">
        <v>181</v>
      </c>
      <c r="I127" s="33"/>
      <c r="AK127" s="24">
        <f>SUM(AK110:AK126)</f>
        <v>58.408286110201374</v>
      </c>
      <c r="AL127" s="3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s="6" customFormat="1" x14ac:dyDescent="0.25">
      <c r="A128" s="5"/>
      <c r="B128" s="4" t="s">
        <v>3</v>
      </c>
      <c r="C128" s="4" t="s">
        <v>4</v>
      </c>
      <c r="D128" s="4" t="s">
        <v>5</v>
      </c>
      <c r="E128" s="4" t="s">
        <v>6</v>
      </c>
      <c r="F128" s="4" t="s">
        <v>7</v>
      </c>
      <c r="G128" s="4" t="s">
        <v>8</v>
      </c>
      <c r="H128" s="4" t="s">
        <v>9</v>
      </c>
      <c r="I128" s="9" t="s">
        <v>10</v>
      </c>
      <c r="J128" s="4" t="s">
        <v>11</v>
      </c>
      <c r="K128" s="4" t="s">
        <v>12</v>
      </c>
      <c r="L128" s="4" t="s">
        <v>13</v>
      </c>
      <c r="M128" s="4" t="s">
        <v>14</v>
      </c>
      <c r="N128" s="4" t="s">
        <v>15</v>
      </c>
      <c r="O128" s="4" t="s">
        <v>16</v>
      </c>
      <c r="P128" s="4" t="s">
        <v>17</v>
      </c>
      <c r="Q128" s="4" t="s">
        <v>18</v>
      </c>
      <c r="R128" s="4" t="s">
        <v>19</v>
      </c>
      <c r="S128" s="4" t="s">
        <v>20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3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39" x14ac:dyDescent="0.25">
      <c r="A129" s="25" t="s">
        <v>182</v>
      </c>
      <c r="B129" s="11" t="s">
        <v>22</v>
      </c>
      <c r="C129" s="11" t="s">
        <v>23</v>
      </c>
      <c r="D129" s="11" t="s">
        <v>3</v>
      </c>
      <c r="E129" s="11" t="s">
        <v>4</v>
      </c>
      <c r="F129" s="11" t="s">
        <v>24</v>
      </c>
      <c r="G129" s="11" t="s">
        <v>25</v>
      </c>
      <c r="H129" s="11" t="s">
        <v>26</v>
      </c>
      <c r="I129" s="12" t="s">
        <v>27</v>
      </c>
      <c r="J129" s="11" t="s">
        <v>28</v>
      </c>
      <c r="K129" s="11" t="s">
        <v>29</v>
      </c>
      <c r="L129" s="11" t="s">
        <v>30</v>
      </c>
      <c r="M129" s="11" t="s">
        <v>31</v>
      </c>
      <c r="N129" s="11" t="s">
        <v>32</v>
      </c>
      <c r="O129" s="11" t="s">
        <v>33</v>
      </c>
      <c r="P129" s="11" t="s">
        <v>20</v>
      </c>
      <c r="Q129" s="11"/>
      <c r="R129" s="11"/>
      <c r="S129" s="11"/>
      <c r="T129" s="11" t="s">
        <v>34</v>
      </c>
      <c r="U129" s="11" t="s">
        <v>35</v>
      </c>
      <c r="V129" s="11" t="s">
        <v>36</v>
      </c>
      <c r="W129" s="11" t="s">
        <v>37</v>
      </c>
      <c r="X129" s="11" t="s">
        <v>38</v>
      </c>
      <c r="Y129" s="11" t="s">
        <v>39</v>
      </c>
      <c r="Z129" s="11" t="s">
        <v>40</v>
      </c>
      <c r="AA129" s="11" t="s">
        <v>41</v>
      </c>
      <c r="AB129" s="11" t="s">
        <v>42</v>
      </c>
      <c r="AC129" s="11" t="s">
        <v>43</v>
      </c>
      <c r="AD129" s="11" t="s">
        <v>44</v>
      </c>
      <c r="AE129" s="11" t="s">
        <v>45</v>
      </c>
      <c r="AF129" s="11" t="s">
        <v>46</v>
      </c>
      <c r="AG129" s="11" t="s">
        <v>47</v>
      </c>
      <c r="AH129" s="11" t="s">
        <v>48</v>
      </c>
      <c r="AI129" s="11" t="s">
        <v>49</v>
      </c>
      <c r="AJ129" s="11" t="s">
        <v>50</v>
      </c>
      <c r="AK129" s="13" t="s">
        <v>51</v>
      </c>
    </row>
    <row r="130" spans="1:39" x14ac:dyDescent="0.25">
      <c r="A130" t="s">
        <v>183</v>
      </c>
      <c r="B130" s="15">
        <v>829</v>
      </c>
      <c r="C130" s="15">
        <v>64</v>
      </c>
      <c r="D130" s="16">
        <v>0.33679999999999999</v>
      </c>
      <c r="E130" s="16">
        <v>0.3034</v>
      </c>
      <c r="F130" s="15">
        <v>0.47</v>
      </c>
      <c r="G130" s="15">
        <v>12.17</v>
      </c>
      <c r="H130" s="15">
        <v>20</v>
      </c>
      <c r="I130" s="17">
        <v>6</v>
      </c>
      <c r="J130" s="15">
        <v>28</v>
      </c>
      <c r="K130" s="15">
        <v>0</v>
      </c>
      <c r="L130" s="16">
        <v>0.41670000000000001</v>
      </c>
      <c r="M130" s="18">
        <v>1</v>
      </c>
      <c r="N130" s="16">
        <v>2.76E-2</v>
      </c>
      <c r="O130" s="16">
        <v>0.1366</v>
      </c>
      <c r="P130" s="15">
        <f>418/19</f>
        <v>22</v>
      </c>
      <c r="Q130" s="15"/>
      <c r="R130" s="15"/>
      <c r="S130" s="15"/>
      <c r="T130" s="15">
        <v>6</v>
      </c>
      <c r="U130" s="15">
        <v>0.2</v>
      </c>
      <c r="V130" s="15">
        <v>1</v>
      </c>
      <c r="W130" s="15"/>
      <c r="X130" s="19">
        <f>IF(B130=0,0,100*(C130+2*H130+3*I130)/B130)</f>
        <v>14.716525934861279</v>
      </c>
      <c r="Y130" s="19">
        <f>IF(C130=0,0,(J130+K130)/C130)</f>
        <v>0.4375</v>
      </c>
      <c r="Z130" s="19"/>
      <c r="AA130" s="19">
        <f>MAX(0,MIN(10,5+50*(D130-0.55)+25*(E130-F130)))</f>
        <v>0</v>
      </c>
      <c r="AB130" s="19">
        <f>MAX(0,MIN(10,0.2*G130+5*Y130))</f>
        <v>4.6215000000000002</v>
      </c>
      <c r="AC130" s="19">
        <f t="shared" ref="AC130:AC151" si="92">MAX(0,MIN(10,X130/4))</f>
        <v>3.6791314837153197</v>
      </c>
      <c r="AD130" s="19">
        <f>MAX(0,MIN(10,2+0.15*G130+4*Y130-0.03*((L130+M130)/2)))</f>
        <v>5.5542495000000001</v>
      </c>
      <c r="AE130" s="19">
        <f>MAX(0,MIN(10,0.15*N130+0.08*O130))</f>
        <v>1.5068E-2</v>
      </c>
      <c r="AF130" s="19"/>
      <c r="AG130" s="19"/>
      <c r="AH130" s="19">
        <f>MAX(0,MIN(10,P130/3.2-2*U130))</f>
        <v>6.4749999999999996</v>
      </c>
      <c r="AI130" s="19">
        <f>10*(0.22*AA130+0.2*AB130+0.18*AC130+0.12*AD130+0.1*AE130+0.13*T130+0.05*AH130)</f>
        <v>33.583104070687575</v>
      </c>
      <c r="AJ130" s="19">
        <f>AI130*V130</f>
        <v>33.583104070687575</v>
      </c>
      <c r="AK130" s="20">
        <f>AJ130*(P130/200)</f>
        <v>3.6941414477756331</v>
      </c>
    </row>
    <row r="131" spans="1:39" x14ac:dyDescent="0.25">
      <c r="A131" t="s">
        <v>184</v>
      </c>
      <c r="B131" s="15">
        <v>2361</v>
      </c>
      <c r="C131" s="15">
        <v>692</v>
      </c>
      <c r="D131" s="16">
        <v>0.57230000000000003</v>
      </c>
      <c r="E131" s="16">
        <v>0.51290000000000002</v>
      </c>
      <c r="F131" s="15">
        <v>0.44</v>
      </c>
      <c r="G131" s="15">
        <v>24.67</v>
      </c>
      <c r="H131" s="15">
        <v>228</v>
      </c>
      <c r="I131" s="17">
        <v>78</v>
      </c>
      <c r="J131" s="15">
        <v>212</v>
      </c>
      <c r="K131" s="15">
        <v>39</v>
      </c>
      <c r="L131" s="16">
        <v>0.51819999999999999</v>
      </c>
      <c r="M131" s="16">
        <v>0.66669999999999996</v>
      </c>
      <c r="N131" s="16">
        <v>2.1399999999999999E-2</v>
      </c>
      <c r="O131" s="16">
        <v>0.10349999999999999</v>
      </c>
      <c r="P131" s="15">
        <v>34</v>
      </c>
      <c r="Q131" s="15"/>
      <c r="R131" s="15"/>
      <c r="S131" s="15"/>
      <c r="T131" s="15">
        <v>5</v>
      </c>
      <c r="U131" s="15">
        <v>0.25</v>
      </c>
      <c r="V131" s="15">
        <v>1.05</v>
      </c>
      <c r="W131" s="15"/>
      <c r="X131" s="19">
        <f>IF(B131=0,0,100*(C131+2*H131+3*I131)/B131)</f>
        <v>58.534519271495128</v>
      </c>
      <c r="Y131" s="19">
        <f>IF(C131=0,0,(J131+K131)/C131)</f>
        <v>0.36271676300578037</v>
      </c>
      <c r="Z131" s="19"/>
      <c r="AA131" s="19">
        <f>MAX(0,MIN(10,5+50*(D131-0.55)+25*(E131-F131)))</f>
        <v>7.9375</v>
      </c>
      <c r="AB131" s="19">
        <f>MAX(0,MIN(10,0.2*G131+5*Y131))</f>
        <v>6.7475838150289027</v>
      </c>
      <c r="AC131" s="19">
        <f t="shared" si="92"/>
        <v>10</v>
      </c>
      <c r="AD131" s="19">
        <f>MAX(0,MIN(10,2+0.15*G131+4*Y131-0.03*((L131+M131)/2)))</f>
        <v>7.1335935520231217</v>
      </c>
      <c r="AE131" s="19">
        <f>MAX(0,MIN(10,0.15*N131+0.08*O131))</f>
        <v>1.1489999999999998E-2</v>
      </c>
      <c r="AF131" s="19"/>
      <c r="AG131" s="19"/>
      <c r="AH131" s="19">
        <f>MAX(0,MIN(10,P131/3.2-2*U131))</f>
        <v>10</v>
      </c>
      <c r="AI131" s="19">
        <f>10*(0.22*AA131+0.2*AB131+0.18*AC131+0.12*AD131+0.1*AE131+0.13*T131+0.05*AH131)</f>
        <v>69.029469892485551</v>
      </c>
      <c r="AJ131" s="19">
        <f>AI131*V131</f>
        <v>72.480943387109832</v>
      </c>
      <c r="AK131" s="20">
        <f>AJ131*(P131/200)</f>
        <v>12.321760375808672</v>
      </c>
    </row>
    <row r="132" spans="1:39" x14ac:dyDescent="0.25">
      <c r="A132" t="s">
        <v>185</v>
      </c>
      <c r="B132" s="15">
        <v>1625</v>
      </c>
      <c r="C132" s="15">
        <v>320</v>
      </c>
      <c r="D132" s="18">
        <v>0.64</v>
      </c>
      <c r="E132" s="16">
        <v>0.63770000000000004</v>
      </c>
      <c r="F132" s="15">
        <v>0.53</v>
      </c>
      <c r="G132" s="15">
        <v>16.510000000000002</v>
      </c>
      <c r="H132" s="15">
        <v>176</v>
      </c>
      <c r="I132" s="17">
        <v>0</v>
      </c>
      <c r="J132" s="15">
        <v>88</v>
      </c>
      <c r="K132" s="15">
        <v>0</v>
      </c>
      <c r="L132" s="16">
        <v>0.66669999999999996</v>
      </c>
      <c r="M132" s="18">
        <v>0</v>
      </c>
      <c r="N132" s="16">
        <v>0.1203</v>
      </c>
      <c r="O132" s="16">
        <v>0.24229999999999999</v>
      </c>
      <c r="P132" s="15">
        <v>22</v>
      </c>
      <c r="Q132" s="15"/>
      <c r="R132" s="15"/>
      <c r="S132" s="15"/>
      <c r="T132" s="15">
        <v>7.5</v>
      </c>
      <c r="U132" s="15">
        <v>0.2</v>
      </c>
      <c r="V132" s="15">
        <v>1</v>
      </c>
      <c r="W132" s="15"/>
      <c r="X132" s="19">
        <f>IF(B132=0,0,100*(C132+2*H132+3*I132)/B132)</f>
        <v>41.353846153846156</v>
      </c>
      <c r="Y132" s="19">
        <f>IF(C132=0,0,(J132+K132)/C132)</f>
        <v>0.27500000000000002</v>
      </c>
      <c r="Z132" s="19"/>
      <c r="AA132" s="19">
        <f>MAX(0,MIN(10,5+50*(D132-0.55)+25*(E132-F132)))</f>
        <v>10</v>
      </c>
      <c r="AB132" s="19">
        <f>MAX(0,MIN(10,0.2*G132+5*Y132))</f>
        <v>4.6770000000000005</v>
      </c>
      <c r="AC132" s="19">
        <f t="shared" si="92"/>
        <v>10</v>
      </c>
      <c r="AD132" s="19">
        <f>MAX(0,MIN(10,2+0.15*G132+4*Y132-0.03*((L132+M132)/2)))</f>
        <v>5.566499499999999</v>
      </c>
      <c r="AE132" s="19">
        <f>MAX(0,MIN(10,0.15*N132+0.08*O132))</f>
        <v>3.7428999999999997E-2</v>
      </c>
      <c r="AF132" s="19"/>
      <c r="AG132" s="19"/>
      <c r="AH132" s="19">
        <f>MAX(0,MIN(10,P132/3.2-2*U132))</f>
        <v>6.4749999999999996</v>
      </c>
      <c r="AI132" s="19">
        <f>10*(0.22*AA132+0.2*AB132+0.18*AC132+0.12*AD132+0.1*AE132+0.13*T132+0.05*AH132)</f>
        <v>69.058728399999993</v>
      </c>
      <c r="AJ132" s="19">
        <f>AI132*V132</f>
        <v>69.058728399999993</v>
      </c>
      <c r="AK132" s="20">
        <f>AJ132*(P132/200)</f>
        <v>7.5964601239999991</v>
      </c>
      <c r="AM132" s="4">
        <v>218866</v>
      </c>
    </row>
    <row r="133" spans="1:39" x14ac:dyDescent="0.25">
      <c r="A133" t="s">
        <v>186</v>
      </c>
      <c r="B133" s="15">
        <v>179</v>
      </c>
      <c r="C133" s="15">
        <v>25</v>
      </c>
      <c r="D133" s="16">
        <v>0.43099999999999999</v>
      </c>
      <c r="E133" s="16">
        <v>0.34620000000000001</v>
      </c>
      <c r="F133" s="15">
        <v>0.51</v>
      </c>
      <c r="G133" s="15">
        <v>17.73</v>
      </c>
      <c r="H133" s="15">
        <v>16</v>
      </c>
      <c r="I133" s="17">
        <v>0</v>
      </c>
      <c r="J133" s="15">
        <v>2</v>
      </c>
      <c r="K133" s="15">
        <v>0</v>
      </c>
      <c r="L133" s="16">
        <v>0.88890000000000002</v>
      </c>
      <c r="M133" s="18">
        <v>0</v>
      </c>
      <c r="N133" s="16">
        <v>8.7499999999999994E-2</v>
      </c>
      <c r="O133" s="16">
        <v>0.19320000000000001</v>
      </c>
      <c r="P133" s="15">
        <v>10</v>
      </c>
      <c r="Q133" s="15"/>
      <c r="R133" s="15"/>
      <c r="S133" s="15"/>
      <c r="T133" s="15">
        <v>7</v>
      </c>
      <c r="U133" s="15">
        <v>0.3</v>
      </c>
      <c r="V133" s="15">
        <v>0.95</v>
      </c>
      <c r="W133" s="15"/>
      <c r="X133" s="19">
        <f>IF(B133=0,0,100*(C133+2*H133+3*I133)/B133)</f>
        <v>31.843575418994412</v>
      </c>
      <c r="Y133" s="19">
        <f>IF(C133=0,0,(J133+K133)/C133)</f>
        <v>0.08</v>
      </c>
      <c r="Z133" s="19"/>
      <c r="AA133" s="19">
        <f>MAX(0,MIN(10,5+50*(D133-0.55)+25*(E133-F133)))</f>
        <v>0</v>
      </c>
      <c r="AB133" s="19">
        <f>MAX(0,MIN(10,0.2*G133+5*Y133))</f>
        <v>3.9460000000000002</v>
      </c>
      <c r="AC133" s="19">
        <f>MAX(0,MIN(10,X133/4))</f>
        <v>7.960893854748603</v>
      </c>
      <c r="AD133" s="19">
        <f>MAX(0,MIN(10,2+0.15*G133+4*Y133-0.03*((L133+M133)/2)))</f>
        <v>4.9661664999999999</v>
      </c>
      <c r="AE133" s="19">
        <f>MAX(0,MIN(10,0.15*N133+0.08*O133))</f>
        <v>2.8581000000000002E-2</v>
      </c>
      <c r="AF133" s="19"/>
      <c r="AG133" s="19"/>
      <c r="AH133" s="19">
        <f>MAX(0,MIN(10,P133/3.2-2*U133))</f>
        <v>2.5249999999999999</v>
      </c>
      <c r="AI133" s="19">
        <f>10*(0.22*AA133+0.2*AB133+0.18*AC133+0.12*AD133+0.1*AE133+0.13*T133+0.05*AH133)</f>
        <v>38.57208973854749</v>
      </c>
      <c r="AJ133" s="19">
        <f>AI133*V133</f>
        <v>36.643485251620113</v>
      </c>
      <c r="AK133" s="20">
        <f>AJ133*(P133/200)</f>
        <v>1.8321742625810058</v>
      </c>
    </row>
    <row r="134" spans="1:39" x14ac:dyDescent="0.25">
      <c r="A134" t="s">
        <v>187</v>
      </c>
      <c r="B134" s="15">
        <v>1353</v>
      </c>
      <c r="C134" s="15">
        <v>285</v>
      </c>
      <c r="D134" s="16">
        <v>0.4657</v>
      </c>
      <c r="E134" s="16">
        <v>0.42959999999999998</v>
      </c>
      <c r="F134" s="15">
        <v>0.48</v>
      </c>
      <c r="G134" s="15">
        <v>21.69</v>
      </c>
      <c r="H134" s="15">
        <v>66</v>
      </c>
      <c r="I134" s="17">
        <v>87</v>
      </c>
      <c r="J134" s="15">
        <v>82</v>
      </c>
      <c r="K134" s="15">
        <v>9</v>
      </c>
      <c r="L134" s="16">
        <v>0.44590000000000002</v>
      </c>
      <c r="M134" s="16">
        <v>0.90629999999999999</v>
      </c>
      <c r="N134" s="16">
        <v>5.1900000000000002E-2</v>
      </c>
      <c r="O134" s="16">
        <v>0.13189999999999999</v>
      </c>
      <c r="P134" s="15">
        <v>19</v>
      </c>
      <c r="Q134" s="15"/>
      <c r="R134" s="15"/>
      <c r="S134" s="15"/>
      <c r="T134" s="15">
        <v>6</v>
      </c>
      <c r="U134" s="15">
        <v>0.2</v>
      </c>
      <c r="V134" s="15">
        <v>1</v>
      </c>
      <c r="W134" s="15"/>
      <c r="X134" s="19">
        <f>IF(B134=0,0,100*(C134+2*H134+3*I134)/B134)</f>
        <v>50.110864745011085</v>
      </c>
      <c r="Y134" s="19">
        <f>IF(C134=0,0,(J134+K134)/C134)</f>
        <v>0.31929824561403508</v>
      </c>
      <c r="Z134" s="19"/>
      <c r="AA134" s="19">
        <f>MAX(0,MIN(10,5+50*(D134-0.55)+25*(E134-F134)))</f>
        <v>0</v>
      </c>
      <c r="AB134" s="19">
        <f>MAX(0,MIN(10,0.2*G134+5*Y134))</f>
        <v>5.9344912280701756</v>
      </c>
      <c r="AC134" s="19">
        <f t="shared" si="92"/>
        <v>10</v>
      </c>
      <c r="AD134" s="19">
        <f>MAX(0,MIN(10,2+0.15*G134+4*Y134-0.03*((L134+M134)/2)))</f>
        <v>6.5104099824561414</v>
      </c>
      <c r="AE134" s="19">
        <f>MAX(0,MIN(10,0.15*N134+0.08*O134))</f>
        <v>1.8336999999999999E-2</v>
      </c>
      <c r="AF134" s="19"/>
      <c r="AG134" s="19"/>
      <c r="AH134" s="19">
        <f>MAX(0,MIN(10,P134/3.2-2*U134))</f>
        <v>5.5374999999999996</v>
      </c>
      <c r="AI134" s="19">
        <f>10*(0.22*AA134+0.2*AB134+0.18*AC134+0.12*AD134+0.1*AE134+0.13*T134+0.05*AH134)</f>
        <v>48.268561435087719</v>
      </c>
      <c r="AJ134" s="19">
        <f>AI134*V134</f>
        <v>48.268561435087719</v>
      </c>
      <c r="AK134" s="20">
        <f>AJ134*(P134/200)</f>
        <v>4.5855133363333334</v>
      </c>
    </row>
    <row r="135" spans="1:39" x14ac:dyDescent="0.25">
      <c r="A135" t="s">
        <v>188</v>
      </c>
      <c r="B135" s="15">
        <v>1091</v>
      </c>
      <c r="C135" s="15">
        <v>220</v>
      </c>
      <c r="D135" s="16">
        <v>0.53400000000000003</v>
      </c>
      <c r="E135" s="16">
        <v>0.48139999999999999</v>
      </c>
      <c r="F135" s="15">
        <v>0.49</v>
      </c>
      <c r="G135" s="15">
        <v>20.74</v>
      </c>
      <c r="H135" s="15">
        <v>50</v>
      </c>
      <c r="I135" s="17">
        <v>6</v>
      </c>
      <c r="J135" s="15">
        <v>68</v>
      </c>
      <c r="K135" s="15">
        <v>6</v>
      </c>
      <c r="L135" s="16">
        <v>0.42370000000000002</v>
      </c>
      <c r="M135" s="16">
        <v>0.90480000000000005</v>
      </c>
      <c r="N135" s="16">
        <v>3.5000000000000003E-2</v>
      </c>
      <c r="O135" s="16">
        <v>9.0300000000000005E-2</v>
      </c>
      <c r="P135" s="15">
        <v>16</v>
      </c>
      <c r="Q135" s="15"/>
      <c r="R135" s="15"/>
      <c r="S135" s="15"/>
      <c r="T135" s="15">
        <v>4.5</v>
      </c>
      <c r="U135" s="15">
        <v>0.2</v>
      </c>
      <c r="V135" s="15">
        <v>1</v>
      </c>
      <c r="W135" s="15"/>
      <c r="X135" s="19">
        <f>IF(B135=0,0,100*(C135+2*H135+3*I135)/B135)</f>
        <v>30.980751604032996</v>
      </c>
      <c r="Y135" s="19">
        <f>IF(C135=0,0,(J135+K135)/C135)</f>
        <v>0.33636363636363636</v>
      </c>
      <c r="Z135" s="19"/>
      <c r="AA135" s="19">
        <f>MAX(0,MIN(10,5+50*(D135-0.55)+25*(E135-F135)))</f>
        <v>3.9849999999999994</v>
      </c>
      <c r="AB135" s="19">
        <f>MAX(0,MIN(10,0.2*G135+5*Y135))</f>
        <v>5.8298181818181813</v>
      </c>
      <c r="AC135" s="19">
        <f t="shared" si="92"/>
        <v>7.7451879010082489</v>
      </c>
      <c r="AD135" s="19">
        <f>MAX(0,MIN(10,2+0.15*G135+4*Y135-0.03*((L135+M135)/2)))</f>
        <v>6.4365270454545458</v>
      </c>
      <c r="AE135" s="19">
        <f>MAX(0,MIN(10,0.15*N135+0.08*O135))</f>
        <v>1.2474000000000001E-2</v>
      </c>
      <c r="AF135" s="19"/>
      <c r="AG135" s="19"/>
      <c r="AH135" s="19">
        <f>MAX(0,MIN(10,P135/3.2-2*U135))</f>
        <v>4.5999999999999996</v>
      </c>
      <c r="AI135" s="19">
        <f>10*(0.22*AA135+0.2*AB135+0.18*AC135+0.12*AD135+0.1*AE135+0.13*T135+0.05*AH135)</f>
        <v>50.254281039996656</v>
      </c>
      <c r="AJ135" s="19">
        <f>AI135*V135</f>
        <v>50.254281039996656</v>
      </c>
      <c r="AK135" s="20">
        <f>AJ135*(P135/200)</f>
        <v>4.0203424831997321</v>
      </c>
    </row>
    <row r="136" spans="1:39" x14ac:dyDescent="0.25">
      <c r="A136" t="s">
        <v>189</v>
      </c>
      <c r="B136" s="15">
        <v>1398</v>
      </c>
      <c r="C136" s="15">
        <v>330</v>
      </c>
      <c r="D136" s="16">
        <v>0.55740000000000001</v>
      </c>
      <c r="E136" s="16">
        <v>0.53900000000000003</v>
      </c>
      <c r="F136" s="15">
        <v>0.51</v>
      </c>
      <c r="G136" s="15">
        <v>18.940000000000001</v>
      </c>
      <c r="H136" s="15">
        <v>158</v>
      </c>
      <c r="I136" s="17">
        <v>78</v>
      </c>
      <c r="J136" s="15">
        <v>54</v>
      </c>
      <c r="K136" s="15">
        <v>0</v>
      </c>
      <c r="L136" s="16">
        <v>0.74529999999999996</v>
      </c>
      <c r="M136" s="18">
        <v>1</v>
      </c>
      <c r="N136" s="16">
        <v>7.0099999999999996E-2</v>
      </c>
      <c r="O136" s="16">
        <v>8.6300000000000002E-2</v>
      </c>
      <c r="P136" s="15">
        <f>702/26</f>
        <v>27</v>
      </c>
      <c r="Q136" s="15"/>
      <c r="R136" s="15"/>
      <c r="S136" s="15"/>
      <c r="T136" s="15">
        <v>4</v>
      </c>
      <c r="U136" s="15">
        <v>0.2</v>
      </c>
      <c r="V136" s="15">
        <v>1</v>
      </c>
      <c r="W136" s="15"/>
      <c r="X136" s="19">
        <f>IF(B136=0,0,100*(C136+2*H136+3*I136)/B136)</f>
        <v>62.94706723891273</v>
      </c>
      <c r="Y136" s="19">
        <f>IF(C136=0,0,(J136+K136)/C136)</f>
        <v>0.16363636363636364</v>
      </c>
      <c r="Z136" s="19"/>
      <c r="AA136" s="19">
        <f>MAX(0,MIN(10,5+50*(D136-0.55)+25*(E136-F136)))</f>
        <v>6.0949999999999989</v>
      </c>
      <c r="AB136" s="19">
        <f>MAX(0,MIN(10,0.2*G136+5*Y136))</f>
        <v>4.6061818181818186</v>
      </c>
      <c r="AC136" s="19">
        <f t="shared" si="92"/>
        <v>10</v>
      </c>
      <c r="AD136" s="19">
        <f>MAX(0,MIN(10,2+0.15*G136+4*Y136-0.03*((L136+M136)/2)))</f>
        <v>5.4693659545454549</v>
      </c>
      <c r="AE136" s="19">
        <f>MAX(0,MIN(10,0.15*N136+0.08*O136))</f>
        <v>1.7418999999999997E-2</v>
      </c>
      <c r="AF136" s="19"/>
      <c r="AG136" s="19"/>
      <c r="AH136" s="19">
        <f>MAX(0,MIN(10,P136/3.2-2*U136))</f>
        <v>8.0374999999999996</v>
      </c>
      <c r="AI136" s="19">
        <f>10*(0.22*AA136+0.2*AB136+0.18*AC136+0.12*AD136+0.1*AE136+0.13*T136+0.05*AH136)</f>
        <v>56.420771781818182</v>
      </c>
      <c r="AJ136" s="19">
        <f>AI136*V136</f>
        <v>56.420771781818182</v>
      </c>
      <c r="AK136" s="20">
        <f>AJ136*(P136/200)</f>
        <v>7.6168041905454551</v>
      </c>
    </row>
    <row r="137" spans="1:39" x14ac:dyDescent="0.25">
      <c r="A137" t="s">
        <v>190</v>
      </c>
      <c r="B137" s="15">
        <v>814</v>
      </c>
      <c r="C137" s="15">
        <v>95</v>
      </c>
      <c r="D137" s="16">
        <v>0.4657</v>
      </c>
      <c r="E137" s="16">
        <v>0.40660000000000002</v>
      </c>
      <c r="F137" s="15">
        <v>0.51</v>
      </c>
      <c r="G137" s="15">
        <v>12.86</v>
      </c>
      <c r="H137" s="15">
        <v>50</v>
      </c>
      <c r="I137" s="17">
        <v>6</v>
      </c>
      <c r="J137" s="15">
        <v>18</v>
      </c>
      <c r="K137" s="15">
        <v>0</v>
      </c>
      <c r="L137" s="16">
        <v>0.73529999999999995</v>
      </c>
      <c r="M137" s="18">
        <v>1</v>
      </c>
      <c r="N137" s="16">
        <v>5.6899999999999999E-2</v>
      </c>
      <c r="O137" s="16">
        <v>0.18379999999999999</v>
      </c>
      <c r="P137" s="15">
        <v>10</v>
      </c>
      <c r="Q137" s="15"/>
      <c r="R137" s="15"/>
      <c r="S137" s="15"/>
      <c r="T137" s="15">
        <v>6.5</v>
      </c>
      <c r="U137" s="15">
        <v>0.2</v>
      </c>
      <c r="V137" s="15">
        <v>1</v>
      </c>
      <c r="W137" s="15"/>
      <c r="X137" s="19">
        <f>IF(B137=0,0,100*(C137+2*H137+3*I137)/B137)</f>
        <v>26.167076167076168</v>
      </c>
      <c r="Y137" s="19">
        <f>IF(C137=0,0,(J137+K137)/C137)</f>
        <v>0.18947368421052632</v>
      </c>
      <c r="Z137" s="19"/>
      <c r="AA137" s="19">
        <f>MAX(0,MIN(10,5+50*(D137-0.55)+25*(E137-F137)))</f>
        <v>0</v>
      </c>
      <c r="AB137" s="19">
        <f>MAX(0,MIN(10,0.2*G137+5*Y137))</f>
        <v>3.5193684210526319</v>
      </c>
      <c r="AC137" s="19">
        <f t="shared" si="92"/>
        <v>6.5417690417690419</v>
      </c>
      <c r="AD137" s="19">
        <f>MAX(0,MIN(10,2+0.15*G137+4*Y137-0.03*((L137+M137)/2)))</f>
        <v>4.6608652368421053</v>
      </c>
      <c r="AE137" s="19">
        <f>MAX(0,MIN(10,0.15*N137+0.08*O137))</f>
        <v>2.3238999999999999E-2</v>
      </c>
      <c r="AF137" s="19"/>
      <c r="AG137" s="19"/>
      <c r="AH137" s="19">
        <f>MAX(0,MIN(10,P137/3.2-2*U137))</f>
        <v>2.7250000000000001</v>
      </c>
      <c r="AI137" s="19">
        <f>10*(0.22*AA137+0.2*AB137+0.18*AC137+0.12*AD137+0.1*AE137+0.13*T137+0.05*AH137)</f>
        <v>34.242698401500064</v>
      </c>
      <c r="AJ137" s="19">
        <f>AI137*V137</f>
        <v>34.242698401500064</v>
      </c>
      <c r="AK137" s="20">
        <f>AJ137*(P137/200)</f>
        <v>1.7121349200750033</v>
      </c>
    </row>
    <row r="138" spans="1:39" x14ac:dyDescent="0.25">
      <c r="A138" t="s">
        <v>191</v>
      </c>
      <c r="B138" s="15">
        <v>1011</v>
      </c>
      <c r="C138" s="15">
        <v>187</v>
      </c>
      <c r="D138" s="16">
        <v>0.5282</v>
      </c>
      <c r="E138" s="16">
        <v>0.47060000000000002</v>
      </c>
      <c r="F138" s="15">
        <v>0.51</v>
      </c>
      <c r="G138" s="15">
        <v>17.32</v>
      </c>
      <c r="H138" s="15">
        <v>64</v>
      </c>
      <c r="I138" s="17">
        <v>60</v>
      </c>
      <c r="J138" s="15">
        <v>20</v>
      </c>
      <c r="K138" s="15">
        <v>0</v>
      </c>
      <c r="L138" s="16">
        <v>0.76190000000000002</v>
      </c>
      <c r="M138" s="18">
        <v>1</v>
      </c>
      <c r="N138" s="16">
        <v>9.9400000000000002E-2</v>
      </c>
      <c r="O138" s="18">
        <v>0.17</v>
      </c>
      <c r="P138" s="15">
        <v>20</v>
      </c>
      <c r="Q138" s="15"/>
      <c r="R138" s="15"/>
      <c r="S138" s="15"/>
      <c r="T138" s="15">
        <v>6.5</v>
      </c>
      <c r="U138" s="15">
        <v>0.3</v>
      </c>
      <c r="V138" s="15">
        <v>1</v>
      </c>
      <c r="W138" s="15"/>
      <c r="X138" s="19">
        <f>IF(B138=0,0,100*(C138+2*H138+3*I138)/B138)</f>
        <v>48.961424332344215</v>
      </c>
      <c r="Y138" s="19">
        <f>IF(C138=0,0,(J138+K138)/C138)</f>
        <v>0.10695187165775401</v>
      </c>
      <c r="Z138" s="19"/>
      <c r="AA138" s="19">
        <f>MAX(0,MIN(10,5+50*(D138-0.55)+25*(E138-F138)))</f>
        <v>2.924999999999998</v>
      </c>
      <c r="AB138" s="19">
        <f>MAX(0,MIN(10,0.2*G138+5*Y138))</f>
        <v>3.9987593582887704</v>
      </c>
      <c r="AC138" s="19">
        <f t="shared" si="92"/>
        <v>10</v>
      </c>
      <c r="AD138" s="19">
        <f>MAX(0,MIN(10,2+0.15*G138+4*Y138-0.03*((L138+M138)/2)))</f>
        <v>4.9993789866310161</v>
      </c>
      <c r="AE138" s="19">
        <f>MAX(0,MIN(10,0.15*N138+0.08*O138))</f>
        <v>2.8510000000000001E-2</v>
      </c>
      <c r="AF138" s="19"/>
      <c r="AG138" s="19"/>
      <c r="AH138" s="19">
        <f>MAX(0,MIN(10,P138/3.2-2*U138))</f>
        <v>5.65</v>
      </c>
      <c r="AI138" s="19">
        <f>10*(0.22*AA138+0.2*AB138+0.18*AC138+0.12*AD138+0.1*AE138+0.13*T138+0.05*AH138)</f>
        <v>49.735283500534749</v>
      </c>
      <c r="AJ138" s="19">
        <f>AI138*V138</f>
        <v>49.735283500534749</v>
      </c>
      <c r="AK138" s="20">
        <f>AJ138*(P138/200)</f>
        <v>4.973528350053475</v>
      </c>
    </row>
    <row r="139" spans="1:39" x14ac:dyDescent="0.25">
      <c r="A139" t="s">
        <v>192</v>
      </c>
      <c r="B139" s="15">
        <v>306</v>
      </c>
      <c r="C139" s="15">
        <v>88</v>
      </c>
      <c r="D139" s="16">
        <v>0.63770000000000004</v>
      </c>
      <c r="E139" s="16">
        <v>0.57379999999999998</v>
      </c>
      <c r="F139" s="15">
        <v>0.51</v>
      </c>
      <c r="G139" s="15">
        <v>21.41</v>
      </c>
      <c r="H139" s="15">
        <v>30</v>
      </c>
      <c r="I139" s="17">
        <v>30</v>
      </c>
      <c r="J139" s="15">
        <v>10</v>
      </c>
      <c r="K139" s="15">
        <v>0</v>
      </c>
      <c r="L139" s="16">
        <v>0.75</v>
      </c>
      <c r="M139" s="18">
        <v>1</v>
      </c>
      <c r="N139" s="16">
        <v>4.5499999999999999E-2</v>
      </c>
      <c r="O139" s="16">
        <v>0.1181</v>
      </c>
      <c r="P139" s="15">
        <v>20</v>
      </c>
      <c r="Q139" s="15"/>
      <c r="R139" s="15"/>
      <c r="S139" s="15"/>
      <c r="T139" s="15">
        <v>5.5</v>
      </c>
      <c r="U139" s="15">
        <v>0.2</v>
      </c>
      <c r="V139" s="15">
        <v>1</v>
      </c>
      <c r="W139" s="15"/>
      <c r="X139" s="19">
        <f>IF(B139=0,0,100*(C139+2*H139+3*I139)/B139)</f>
        <v>77.777777777777771</v>
      </c>
      <c r="Y139" s="19">
        <f>IF(C139=0,0,(J139+K139)/C139)</f>
        <v>0.11363636363636363</v>
      </c>
      <c r="Z139" s="19"/>
      <c r="AA139" s="19">
        <f>MAX(0,MIN(10,5+50*(D139-0.55)+25*(E139-F139)))</f>
        <v>10</v>
      </c>
      <c r="AB139" s="19">
        <f>MAX(0,MIN(10,0.2*G139+5*Y139))</f>
        <v>4.8501818181818184</v>
      </c>
      <c r="AC139" s="19">
        <f t="shared" si="92"/>
        <v>10</v>
      </c>
      <c r="AD139" s="19">
        <f>MAX(0,MIN(10,2+0.15*G139+4*Y139-0.03*((L139+M139)/2)))</f>
        <v>5.6397954545454541</v>
      </c>
      <c r="AE139" s="19">
        <f>MAX(0,MIN(10,0.15*N139+0.08*O139))</f>
        <v>1.6272999999999999E-2</v>
      </c>
      <c r="AF139" s="19"/>
      <c r="AG139" s="19"/>
      <c r="AH139" s="19">
        <f>MAX(0,MIN(10,P139/3.2-2*U139))</f>
        <v>5.85</v>
      </c>
      <c r="AI139" s="19">
        <f>10*(0.22*AA139+0.2*AB139+0.18*AC139+0.12*AD139+0.1*AE139+0.13*T139+0.05*AH139)</f>
        <v>66.559391181818185</v>
      </c>
      <c r="AJ139" s="19">
        <f>AI139*V139</f>
        <v>66.559391181818185</v>
      </c>
      <c r="AK139" s="20">
        <f>AJ139*(P139/200)</f>
        <v>6.655939118181819</v>
      </c>
    </row>
    <row r="140" spans="1:39" x14ac:dyDescent="0.25">
      <c r="A140" t="s">
        <v>193</v>
      </c>
      <c r="B140" s="16">
        <v>0.56299999999999994</v>
      </c>
      <c r="C140" s="16">
        <v>0.53200000000000003</v>
      </c>
      <c r="D140" s="15">
        <v>0.38700000000000001</v>
      </c>
      <c r="E140" s="15">
        <v>0.216</v>
      </c>
      <c r="F140" s="16">
        <v>0.04</v>
      </c>
      <c r="G140" s="16">
        <v>0.11</v>
      </c>
      <c r="H140" s="16">
        <v>0.2</v>
      </c>
      <c r="I140" s="23">
        <v>2.5999999999999999E-2</v>
      </c>
      <c r="J140" s="16">
        <v>4.0000000000000001E-3</v>
      </c>
      <c r="K140" s="18">
        <v>0.13700000000000001</v>
      </c>
      <c r="L140" s="16">
        <v>0.2</v>
      </c>
      <c r="M140" s="15">
        <v>109</v>
      </c>
      <c r="N140" s="15">
        <v>86</v>
      </c>
      <c r="O140" s="15">
        <v>0.19</v>
      </c>
      <c r="P140" s="15">
        <v>4.8</v>
      </c>
      <c r="Q140" s="15">
        <v>3</v>
      </c>
      <c r="R140" s="15">
        <v>7.8</v>
      </c>
      <c r="S140" s="15">
        <v>6</v>
      </c>
      <c r="T140" s="15">
        <v>5</v>
      </c>
      <c r="U140" s="15">
        <v>0.2</v>
      </c>
      <c r="V140" s="15">
        <v>0.95</v>
      </c>
      <c r="W140" s="15">
        <v>0.94</v>
      </c>
      <c r="X140" s="19">
        <f t="shared" ref="X140:X144" si="93">MAX(0,MIN(100,0.45*M140+0.6*H140+0.35*L140-0.2*K140-15))</f>
        <v>34.212600000000002</v>
      </c>
      <c r="Y140" s="19">
        <f t="shared" ref="Y140:Y144" si="94">MAX(0,MIN(1,0.012*L140+0.025*P140+0.3*E140+0.2*D140-0.18))</f>
        <v>8.4600000000000009E-2</v>
      </c>
      <c r="Z140" s="19">
        <f t="shared" ref="Z140:Z144" si="95">MAX(0,MIN(10,1+0.45*R140+30*O140+0.04*(M140-N140)))</f>
        <v>10</v>
      </c>
      <c r="AA140" s="19">
        <f t="shared" ref="AA140:AA144" si="96">MAX(0,MIN(10,3+20*(B140-0.52)+15*(C140-0.5)+0.06*(M140-100)))</f>
        <v>4.879999999999999</v>
      </c>
      <c r="AB140" s="19">
        <f t="shared" ref="AB140:AB144" si="97">MAX(0,MIN(10,0.16*L140+0.55*P140+4*E140))</f>
        <v>3.536</v>
      </c>
      <c r="AC140" s="19">
        <f t="shared" ref="AC140:AC144" si="98">MAX(0,MIN(10,2+0.22*H140-0.12*K140+0.15*P140))</f>
        <v>2.74756</v>
      </c>
      <c r="AD140" s="19">
        <f t="shared" ref="AD140:AD144" si="99">MAX(0,MIN(10,2+0.28*P140+0.1*L140+2*D140+1.5*E140))</f>
        <v>4.4619999999999997</v>
      </c>
      <c r="AE140" s="19">
        <f t="shared" ref="AE140:AE144" si="100">MAX(0,MIN(10,0.18*F140+0.08*G140))</f>
        <v>1.6E-2</v>
      </c>
      <c r="AF140" s="19">
        <f t="shared" ref="AF140:AF144" si="101">MAX(0,MIN(10,4+0.3*Q140+0.6*I140+0.5*J140+0.03*(105-N140)))</f>
        <v>5.4876000000000005</v>
      </c>
      <c r="AG140" s="19">
        <f t="shared" ref="AG140:AG144" si="102">0.6*AF140+0.4*T140</f>
        <v>5.2925599999999999</v>
      </c>
      <c r="AH140" s="19">
        <f t="shared" ref="AH140:AH144" si="103">MAX(0,MIN(10,S140/3.2-2*U140))</f>
        <v>1.4750000000000001</v>
      </c>
      <c r="AI140" s="19">
        <f t="shared" ref="AI140:AI144" si="104">10*(0.18*Z140+0.17*AA140+0.15*AB140+0.14*AC140+0.1*AD140+0.08*AE140+0.1*AG140+0.08*AH140)</f>
        <v>46.393944000000005</v>
      </c>
      <c r="AJ140" s="19">
        <f t="shared" ref="AJ140:AJ144" si="105">AI140*V140*W140</f>
        <v>41.429791991999998</v>
      </c>
      <c r="AK140" s="20">
        <f t="shared" ref="AK140:AK144" si="106">AJ140*(P140/200)</f>
        <v>0.99431500780799997</v>
      </c>
    </row>
    <row r="141" spans="1:39" x14ac:dyDescent="0.25">
      <c r="A141" t="s">
        <v>194</v>
      </c>
      <c r="B141" s="16">
        <v>0.60599999999999998</v>
      </c>
      <c r="C141" s="16">
        <v>0.59099999999999997</v>
      </c>
      <c r="D141" s="15">
        <v>0.49099999999999999</v>
      </c>
      <c r="E141" s="15">
        <v>8.2000000000000003E-2</v>
      </c>
      <c r="F141" s="16">
        <v>3.1E-2</v>
      </c>
      <c r="G141" s="16">
        <v>7.0999999999999994E-2</v>
      </c>
      <c r="H141" s="16">
        <v>0.17599999999999999</v>
      </c>
      <c r="I141" s="23">
        <v>4.8000000000000001E-2</v>
      </c>
      <c r="J141" s="16">
        <v>2.1000000000000001E-2</v>
      </c>
      <c r="K141" s="18">
        <v>9.5000000000000001E-2</v>
      </c>
      <c r="L141" s="16">
        <v>0.25800000000000001</v>
      </c>
      <c r="M141" s="15">
        <v>123.4</v>
      </c>
      <c r="N141" s="15">
        <v>72.900000000000006</v>
      </c>
      <c r="O141" s="15">
        <v>0.34799999999999998</v>
      </c>
      <c r="P141" s="15">
        <v>11.6</v>
      </c>
      <c r="Q141" s="15">
        <v>7.1</v>
      </c>
      <c r="R141" s="15">
        <v>18.7</v>
      </c>
      <c r="S141" s="15">
        <v>28</v>
      </c>
      <c r="T141" s="15">
        <v>6.5</v>
      </c>
      <c r="U141" s="15">
        <v>0.2</v>
      </c>
      <c r="V141" s="15">
        <v>1.1000000000000001</v>
      </c>
      <c r="W141" s="15">
        <v>1.05</v>
      </c>
      <c r="X141" s="19">
        <f t="shared" si="93"/>
        <v>40.706900000000005</v>
      </c>
      <c r="Y141" s="19">
        <f t="shared" si="94"/>
        <v>0.23589599999999999</v>
      </c>
      <c r="Z141" s="19">
        <f t="shared" si="95"/>
        <v>10</v>
      </c>
      <c r="AA141" s="19">
        <f t="shared" si="96"/>
        <v>7.488999999999999</v>
      </c>
      <c r="AB141" s="19">
        <f t="shared" si="97"/>
        <v>6.7492800000000006</v>
      </c>
      <c r="AC141" s="19">
        <f t="shared" si="98"/>
        <v>3.7673199999999998</v>
      </c>
      <c r="AD141" s="19">
        <f t="shared" si="99"/>
        <v>6.3788000000000009</v>
      </c>
      <c r="AE141" s="19">
        <f t="shared" si="100"/>
        <v>1.1259999999999999E-2</v>
      </c>
      <c r="AF141" s="19">
        <f t="shared" si="101"/>
        <v>7.1323000000000008</v>
      </c>
      <c r="AG141" s="19">
        <f t="shared" si="102"/>
        <v>6.8793800000000012</v>
      </c>
      <c r="AH141" s="19">
        <f t="shared" si="103"/>
        <v>8.35</v>
      </c>
      <c r="AI141" s="19">
        <f t="shared" si="104"/>
        <v>66.076656000000014</v>
      </c>
      <c r="AJ141" s="19">
        <f t="shared" si="105"/>
        <v>76.31853768000002</v>
      </c>
      <c r="AK141" s="20">
        <f t="shared" si="106"/>
        <v>4.4264751854400011</v>
      </c>
    </row>
    <row r="142" spans="1:39" x14ac:dyDescent="0.25">
      <c r="A142" t="s">
        <v>195</v>
      </c>
      <c r="B142" s="16">
        <v>0.45400000000000001</v>
      </c>
      <c r="C142" s="16">
        <v>0.42499999999999999</v>
      </c>
      <c r="D142" s="15">
        <v>0.35299999999999998</v>
      </c>
      <c r="E142" s="15">
        <v>0.32500000000000001</v>
      </c>
      <c r="F142" s="16">
        <v>0.109</v>
      </c>
      <c r="G142" s="16">
        <v>0.124</v>
      </c>
      <c r="H142" s="16">
        <v>6.7000000000000004E-2</v>
      </c>
      <c r="I142" s="23">
        <v>1.7000000000000001E-2</v>
      </c>
      <c r="J142" s="16">
        <v>4.5999999999999999E-2</v>
      </c>
      <c r="K142" s="18">
        <v>0.17599999999999999</v>
      </c>
      <c r="L142" s="16">
        <v>0.22900000000000001</v>
      </c>
      <c r="M142" s="15">
        <v>93.1</v>
      </c>
      <c r="N142" s="15">
        <v>94.6</v>
      </c>
      <c r="O142" s="15">
        <v>9.9000000000000005E-2</v>
      </c>
      <c r="P142" s="15">
        <v>2.2999999999999998</v>
      </c>
      <c r="Q142" s="15">
        <v>2.1</v>
      </c>
      <c r="R142" s="15">
        <v>4.4000000000000004</v>
      </c>
      <c r="S142" s="15">
        <v>7</v>
      </c>
      <c r="T142" s="15">
        <v>6.5</v>
      </c>
      <c r="U142" s="15">
        <v>0.2</v>
      </c>
      <c r="V142" s="15">
        <v>0.93</v>
      </c>
      <c r="W142" s="15">
        <v>0.92</v>
      </c>
      <c r="X142" s="19">
        <f t="shared" si="93"/>
        <v>26.980149999999995</v>
      </c>
      <c r="Y142" s="19">
        <f t="shared" si="94"/>
        <v>4.8348000000000002E-2</v>
      </c>
      <c r="Z142" s="19">
        <f t="shared" si="95"/>
        <v>5.8900000000000015</v>
      </c>
      <c r="AA142" s="19">
        <f t="shared" si="96"/>
        <v>0.1409999999999994</v>
      </c>
      <c r="AB142" s="19">
        <f t="shared" si="97"/>
        <v>2.6016399999999997</v>
      </c>
      <c r="AC142" s="19">
        <f t="shared" si="98"/>
        <v>2.3386200000000001</v>
      </c>
      <c r="AD142" s="19">
        <f t="shared" si="99"/>
        <v>3.8604000000000003</v>
      </c>
      <c r="AE142" s="19">
        <f t="shared" si="100"/>
        <v>2.9539999999999997E-2</v>
      </c>
      <c r="AF142" s="19">
        <f t="shared" si="101"/>
        <v>4.9752000000000001</v>
      </c>
      <c r="AG142" s="19">
        <f t="shared" si="102"/>
        <v>5.5851199999999999</v>
      </c>
      <c r="AH142" s="19">
        <f t="shared" si="103"/>
        <v>1.7875000000000001</v>
      </c>
      <c r="AI142" s="19">
        <f t="shared" si="104"/>
        <v>28.917380000000001</v>
      </c>
      <c r="AJ142" s="19">
        <f t="shared" si="105"/>
        <v>24.741710328000003</v>
      </c>
      <c r="AK142" s="20">
        <f t="shared" si="106"/>
        <v>0.28452966877200003</v>
      </c>
    </row>
    <row r="143" spans="1:39" x14ac:dyDescent="0.25">
      <c r="A143" t="s">
        <v>196</v>
      </c>
      <c r="B143" s="16">
        <v>0.55700000000000005</v>
      </c>
      <c r="C143" s="16">
        <v>0.53</v>
      </c>
      <c r="D143" s="15">
        <v>2E-3</v>
      </c>
      <c r="E143" s="15">
        <v>0.22</v>
      </c>
      <c r="F143" s="16">
        <v>0.05</v>
      </c>
      <c r="G143" s="16">
        <v>0.155</v>
      </c>
      <c r="H143" s="16">
        <v>9.4E-2</v>
      </c>
      <c r="I143" s="23">
        <v>1.7999999999999999E-2</v>
      </c>
      <c r="J143" s="16">
        <v>2.3E-2</v>
      </c>
      <c r="K143" s="18">
        <v>9.9000000000000005E-2</v>
      </c>
      <c r="L143" s="16">
        <v>0.313</v>
      </c>
      <c r="M143" s="15">
        <v>105.5</v>
      </c>
      <c r="N143" s="15">
        <v>107.1</v>
      </c>
      <c r="O143" s="15">
        <v>0.13400000000000001</v>
      </c>
      <c r="P143" s="15">
        <v>6.2</v>
      </c>
      <c r="Q143" s="15">
        <v>0.4</v>
      </c>
      <c r="R143" s="15">
        <v>6.5</v>
      </c>
      <c r="S143" s="15">
        <v>6</v>
      </c>
      <c r="T143" s="15">
        <v>5.5</v>
      </c>
      <c r="U143" s="15">
        <v>0.2</v>
      </c>
      <c r="V143" s="15">
        <v>0.94</v>
      </c>
      <c r="W143" s="15">
        <v>0.9</v>
      </c>
      <c r="X143" s="19">
        <f t="shared" si="93"/>
        <v>32.62115</v>
      </c>
      <c r="Y143" s="19">
        <f t="shared" si="94"/>
        <v>4.5156000000000057E-2</v>
      </c>
      <c r="Z143" s="19">
        <f t="shared" si="95"/>
        <v>7.8810000000000002</v>
      </c>
      <c r="AA143" s="19">
        <f t="shared" si="96"/>
        <v>4.5200000000000014</v>
      </c>
      <c r="AB143" s="19">
        <f t="shared" si="97"/>
        <v>4.3400800000000004</v>
      </c>
      <c r="AC143" s="19">
        <f t="shared" si="98"/>
        <v>2.9387999999999996</v>
      </c>
      <c r="AD143" s="19">
        <f t="shared" si="99"/>
        <v>4.1013000000000002</v>
      </c>
      <c r="AE143" s="19">
        <f t="shared" si="100"/>
        <v>2.1399999999999999E-2</v>
      </c>
      <c r="AF143" s="19">
        <f t="shared" si="101"/>
        <v>4.0792999999999999</v>
      </c>
      <c r="AG143" s="19">
        <f t="shared" si="102"/>
        <v>4.6475799999999996</v>
      </c>
      <c r="AH143" s="19">
        <f t="shared" si="103"/>
        <v>1.4750000000000001</v>
      </c>
      <c r="AI143" s="19">
        <f t="shared" si="104"/>
        <v>42.440240000000003</v>
      </c>
      <c r="AJ143" s="19">
        <f t="shared" si="105"/>
        <v>35.904443040000004</v>
      </c>
      <c r="AK143" s="20">
        <f t="shared" si="106"/>
        <v>1.1130377342400002</v>
      </c>
    </row>
    <row r="144" spans="1:39" x14ac:dyDescent="0.25">
      <c r="A144" t="s">
        <v>197</v>
      </c>
      <c r="B144" s="16">
        <v>0.63900000000000001</v>
      </c>
      <c r="C144" s="16">
        <v>0.61799999999999999</v>
      </c>
      <c r="D144" s="15">
        <v>0</v>
      </c>
      <c r="E144" s="15">
        <v>0.78100000000000003</v>
      </c>
      <c r="F144" s="16">
        <v>0.156</v>
      </c>
      <c r="G144" s="16">
        <v>0.183</v>
      </c>
      <c r="H144" s="16">
        <v>4.8000000000000001E-2</v>
      </c>
      <c r="I144" s="23">
        <v>3.2000000000000001E-2</v>
      </c>
      <c r="J144" s="16">
        <v>6.0999999999999999E-2</v>
      </c>
      <c r="K144" s="18">
        <v>0.13500000000000001</v>
      </c>
      <c r="L144" s="16">
        <v>0.20399999999999999</v>
      </c>
      <c r="M144" s="15">
        <v>128.19999999999999</v>
      </c>
      <c r="N144" s="15">
        <v>74.5</v>
      </c>
      <c r="O144" s="15">
        <v>0.33700000000000002</v>
      </c>
      <c r="P144" s="15">
        <v>9.1999999999999993</v>
      </c>
      <c r="Q144" s="15">
        <v>6.5</v>
      </c>
      <c r="R144" s="15">
        <v>15.7</v>
      </c>
      <c r="S144" s="15">
        <v>18</v>
      </c>
      <c r="T144" s="15">
        <v>8</v>
      </c>
      <c r="U144" s="15">
        <v>0.2</v>
      </c>
      <c r="V144" s="15">
        <v>1.02</v>
      </c>
      <c r="W144" s="15">
        <v>1</v>
      </c>
      <c r="X144" s="19">
        <f t="shared" si="93"/>
        <v>42.763199999999991</v>
      </c>
      <c r="Y144" s="19">
        <f t="shared" si="94"/>
        <v>0.286748</v>
      </c>
      <c r="Z144" s="19">
        <f t="shared" si="95"/>
        <v>10</v>
      </c>
      <c r="AA144" s="19">
        <f t="shared" si="96"/>
        <v>8.8419999999999987</v>
      </c>
      <c r="AB144" s="19">
        <f t="shared" si="97"/>
        <v>8.2166399999999999</v>
      </c>
      <c r="AC144" s="19">
        <f t="shared" si="98"/>
        <v>3.3743599999999998</v>
      </c>
      <c r="AD144" s="19">
        <f t="shared" si="99"/>
        <v>5.7679000000000009</v>
      </c>
      <c r="AE144" s="19">
        <f t="shared" si="100"/>
        <v>4.2719999999999994E-2</v>
      </c>
      <c r="AF144" s="19">
        <f t="shared" si="101"/>
        <v>6.9146999999999998</v>
      </c>
      <c r="AG144" s="19">
        <f t="shared" si="102"/>
        <v>7.3488199999999999</v>
      </c>
      <c r="AH144" s="19">
        <f t="shared" si="103"/>
        <v>5.2249999999999996</v>
      </c>
      <c r="AI144" s="19">
        <f t="shared" si="104"/>
        <v>67.411360000000002</v>
      </c>
      <c r="AJ144" s="19">
        <f t="shared" si="105"/>
        <v>68.759587199999999</v>
      </c>
      <c r="AK144" s="20">
        <f t="shared" si="106"/>
        <v>3.1629410112</v>
      </c>
    </row>
    <row r="145" spans="1:50" x14ac:dyDescent="0.25">
      <c r="A145" t="s">
        <v>198</v>
      </c>
      <c r="B145" s="15">
        <v>2129</v>
      </c>
      <c r="C145" s="15">
        <v>404</v>
      </c>
      <c r="D145" s="16">
        <v>0.56579999999999997</v>
      </c>
      <c r="E145" s="16">
        <v>0.56520000000000004</v>
      </c>
      <c r="F145" s="15">
        <v>0.56000000000000005</v>
      </c>
      <c r="G145" s="15">
        <v>17.59</v>
      </c>
      <c r="H145" s="15">
        <v>184</v>
      </c>
      <c r="I145" s="17">
        <v>159</v>
      </c>
      <c r="J145" s="15">
        <v>30</v>
      </c>
      <c r="K145" s="15">
        <v>0</v>
      </c>
      <c r="L145" s="16">
        <v>0.85980000000000001</v>
      </c>
      <c r="M145" s="18">
        <v>1</v>
      </c>
      <c r="N145" s="16">
        <v>6.1600000000000002E-2</v>
      </c>
      <c r="O145" s="16">
        <v>0.1331</v>
      </c>
      <c r="P145" s="15">
        <v>29</v>
      </c>
      <c r="Q145" s="15"/>
      <c r="R145" s="15"/>
      <c r="S145" s="15"/>
      <c r="T145" s="15">
        <v>6</v>
      </c>
      <c r="U145" s="15">
        <v>0.2</v>
      </c>
      <c r="V145" s="15">
        <v>1.02</v>
      </c>
      <c r="W145" s="15"/>
      <c r="X145" s="19">
        <f>IF(B145=0,0,100*(C145+2*H145+3*I145)/B145)</f>
        <v>58.66604039455143</v>
      </c>
      <c r="Y145" s="19">
        <f>IF(C145=0,0,(J145+K145)/C145)</f>
        <v>7.4257425742574254E-2</v>
      </c>
      <c r="Z145" s="19"/>
      <c r="AA145" s="19">
        <f>MAX(0,MIN(10,5+50*(D145-0.55)+25*(E145-F145)))</f>
        <v>5.9199999999999964</v>
      </c>
      <c r="AB145" s="19">
        <f>MAX(0,MIN(10,0.2*G145+5*Y145))</f>
        <v>3.8892871287128714</v>
      </c>
      <c r="AC145" s="19">
        <f t="shared" si="92"/>
        <v>10</v>
      </c>
      <c r="AD145" s="19">
        <f>MAX(0,MIN(10,2+0.15*G145+4*Y145-0.03*((L145+M145)/2)))</f>
        <v>4.9076327029702975</v>
      </c>
      <c r="AE145" s="19">
        <f>MAX(0,MIN(10,0.15*N145+0.08*O145))</f>
        <v>1.9887999999999999E-2</v>
      </c>
      <c r="AF145" s="19"/>
      <c r="AG145" s="19"/>
      <c r="AH145" s="19">
        <f>MAX(0,MIN(10,P145/3.2-2*U145))</f>
        <v>8.6624999999999996</v>
      </c>
      <c r="AI145" s="19">
        <f>10*(0.22*AA145+0.2*AB145+0.18*AC145+0.12*AD145+0.1*AE145+0.13*T145+0.05*AH145)</f>
        <v>56.8428715009901</v>
      </c>
      <c r="AJ145" s="19">
        <f>AI145*V145</f>
        <v>57.979728931009902</v>
      </c>
      <c r="AK145" s="20">
        <f>AJ145*(P145/200)</f>
        <v>8.407060694996435</v>
      </c>
    </row>
    <row r="146" spans="1:50" x14ac:dyDescent="0.25">
      <c r="A146" t="s">
        <v>199</v>
      </c>
      <c r="B146" s="15">
        <v>1305</v>
      </c>
      <c r="C146" s="15">
        <v>242</v>
      </c>
      <c r="D146" s="16">
        <v>0.50419999999999998</v>
      </c>
      <c r="E146" s="16">
        <v>0.46279999999999999</v>
      </c>
      <c r="F146" s="15">
        <v>0.48</v>
      </c>
      <c r="G146" s="15">
        <v>18.45</v>
      </c>
      <c r="H146" s="15">
        <v>56</v>
      </c>
      <c r="I146" s="17">
        <v>60</v>
      </c>
      <c r="J146" s="15">
        <v>80</v>
      </c>
      <c r="K146" s="15">
        <v>3</v>
      </c>
      <c r="L146" s="16">
        <v>0.4118</v>
      </c>
      <c r="M146" s="18">
        <v>0.95240000000000002</v>
      </c>
      <c r="N146" s="16">
        <v>1.72E-2</v>
      </c>
      <c r="O146" s="16">
        <v>8.0500000000000002E-2</v>
      </c>
      <c r="P146" s="15">
        <v>29</v>
      </c>
      <c r="Q146" s="15"/>
      <c r="R146" s="15"/>
      <c r="S146" s="15"/>
      <c r="T146" s="15">
        <v>4</v>
      </c>
      <c r="U146" s="15">
        <v>0.2</v>
      </c>
      <c r="V146" s="15">
        <v>1.02</v>
      </c>
      <c r="W146" s="15"/>
      <c r="X146" s="19">
        <f>IF(B146=0,0,100*(C146+2*H146+3*I146)/B146)</f>
        <v>40.919540229885058</v>
      </c>
      <c r="Y146" s="19">
        <f>IF(C146=0,0,(J146+K146)/C146)</f>
        <v>0.34297520661157027</v>
      </c>
      <c r="Z146" s="19"/>
      <c r="AA146" s="19">
        <f>MAX(0,MIN(10,5+50*(D146-0.55)+25*(E146-F146)))</f>
        <v>2.2799999999999971</v>
      </c>
      <c r="AB146" s="19">
        <f>MAX(0,MIN(10,0.2*G146+5*Y146))</f>
        <v>5.4048760330578514</v>
      </c>
      <c r="AC146" s="19">
        <f t="shared" si="92"/>
        <v>10</v>
      </c>
      <c r="AD146" s="19">
        <f>MAX(0,MIN(10,2+0.15*G146+4*Y146-0.03*((L146+M146)/2)))</f>
        <v>6.118937826446281</v>
      </c>
      <c r="AE146" s="19">
        <f>MAX(0,MIN(10,0.15*N146+0.08*O146))</f>
        <v>9.0200000000000002E-3</v>
      </c>
      <c r="AF146" s="19"/>
      <c r="AG146" s="19"/>
      <c r="AH146" s="19">
        <f>MAX(0,MIN(10,P146/3.2-2*U146))</f>
        <v>8.6624999999999996</v>
      </c>
      <c r="AI146" s="19">
        <f>10*(0.22*AA146+0.2*AB146+0.18*AC146+0.12*AD146+0.1*AE146+0.13*T146+0.05*AH146)</f>
        <v>50.708747457851246</v>
      </c>
      <c r="AJ146" s="19">
        <f>AI146*V146</f>
        <v>51.722922407008269</v>
      </c>
      <c r="AK146" s="20">
        <f>AJ146*(P146/200)</f>
        <v>7.4998237490161985</v>
      </c>
    </row>
    <row r="147" spans="1:50" x14ac:dyDescent="0.25">
      <c r="A147" t="s">
        <v>200</v>
      </c>
      <c r="B147" s="15">
        <v>76</v>
      </c>
      <c r="C147" s="15">
        <v>6</v>
      </c>
      <c r="D147" s="16">
        <v>0.6</v>
      </c>
      <c r="E147" s="16">
        <v>0.66669999999999996</v>
      </c>
      <c r="F147" s="15">
        <v>0.59</v>
      </c>
      <c r="G147" s="15">
        <v>9.09</v>
      </c>
      <c r="H147" s="15">
        <v>0</v>
      </c>
      <c r="I147" s="17">
        <v>0</v>
      </c>
      <c r="J147" s="15">
        <v>4</v>
      </c>
      <c r="K147" s="15">
        <v>0</v>
      </c>
      <c r="L147" s="16">
        <v>0</v>
      </c>
      <c r="M147" s="18">
        <v>0</v>
      </c>
      <c r="N147" s="16">
        <v>0.1111</v>
      </c>
      <c r="O147" s="16">
        <v>0.10340000000000001</v>
      </c>
      <c r="P147" s="15">
        <v>5</v>
      </c>
      <c r="Q147" s="15"/>
      <c r="R147" s="15"/>
      <c r="S147" s="15"/>
      <c r="T147" s="15">
        <v>5</v>
      </c>
      <c r="U147" s="15">
        <v>0.2</v>
      </c>
      <c r="V147" s="15">
        <v>0.96</v>
      </c>
      <c r="W147" s="15"/>
      <c r="X147" s="19">
        <f>IF(B147=0,0,100*(C147+2*H147+3*I147)/B147)</f>
        <v>7.8947368421052628</v>
      </c>
      <c r="Y147" s="19">
        <f>IF(C147=0,0,(J147+K147)/C147)</f>
        <v>0.66666666666666663</v>
      </c>
      <c r="Z147" s="19"/>
      <c r="AA147" s="19">
        <f>MAX(0,MIN(10,5+50*(D147-0.55)+25*(E147-F147)))</f>
        <v>9.4174999999999969</v>
      </c>
      <c r="AB147" s="19">
        <f>MAX(0,MIN(10,0.2*G147+5*Y147))</f>
        <v>5.1513333333333335</v>
      </c>
      <c r="AC147" s="19">
        <f t="shared" si="92"/>
        <v>1.9736842105263157</v>
      </c>
      <c r="AD147" s="19">
        <f>MAX(0,MIN(10,2+0.15*G147+4*Y147-0.03*((L147+M147)/2)))</f>
        <v>6.0301666666666662</v>
      </c>
      <c r="AE147" s="19">
        <f>MAX(0,MIN(10,0.15*N147+0.08*O147))</f>
        <v>2.4937000000000001E-2</v>
      </c>
      <c r="AF147" s="19"/>
      <c r="AG147" s="19"/>
      <c r="AH147" s="19">
        <f>MAX(0,MIN(10,P147/3.2-2*U147))</f>
        <v>1.1625000000000001</v>
      </c>
      <c r="AI147" s="19">
        <f>10*(0.22*AA147+0.2*AB147+0.18*AC147+0.12*AD147+0.1*AE147+0.13*T147+0.05*AH147)</f>
        <v>48.916185245614031</v>
      </c>
      <c r="AJ147" s="19">
        <f>AI147*V147</f>
        <v>46.959537835789469</v>
      </c>
      <c r="AK147" s="20">
        <f>AJ147*(P147/200)</f>
        <v>1.1739884458947367</v>
      </c>
    </row>
    <row r="148" spans="1:50" x14ac:dyDescent="0.25">
      <c r="A148" t="s">
        <v>201</v>
      </c>
      <c r="B148" s="15">
        <v>868</v>
      </c>
      <c r="C148" s="15">
        <v>74</v>
      </c>
      <c r="D148" s="16">
        <v>0.48680000000000001</v>
      </c>
      <c r="E148" s="16">
        <v>0.42309999999999998</v>
      </c>
      <c r="F148" s="15">
        <v>0.49</v>
      </c>
      <c r="G148" s="15">
        <v>10.87</v>
      </c>
      <c r="H148" s="15">
        <v>18</v>
      </c>
      <c r="I148" s="17">
        <v>3</v>
      </c>
      <c r="J148" s="15">
        <v>28</v>
      </c>
      <c r="K148" s="15">
        <v>6</v>
      </c>
      <c r="L148" s="16">
        <v>0.39129999999999998</v>
      </c>
      <c r="M148" s="18">
        <v>0.33329999999999999</v>
      </c>
      <c r="N148" s="16">
        <v>1.8499999999999999E-2</v>
      </c>
      <c r="O148" s="16">
        <v>5.6500000000000002E-2</v>
      </c>
      <c r="P148" s="15">
        <v>14</v>
      </c>
      <c r="Q148" s="15"/>
      <c r="R148" s="15"/>
      <c r="S148" s="15"/>
      <c r="T148" s="15">
        <v>3</v>
      </c>
      <c r="U148" s="15">
        <v>0.2</v>
      </c>
      <c r="V148" s="15">
        <v>1</v>
      </c>
      <c r="W148" s="15"/>
      <c r="X148" s="19">
        <f>IF(B148=0,0,100*(C148+2*H148+3*I148)/B148)</f>
        <v>13.709677419354838</v>
      </c>
      <c r="Y148" s="19">
        <f>IF(C148=0,0,(J148+K148)/C148)</f>
        <v>0.45945945945945948</v>
      </c>
      <c r="Z148" s="19"/>
      <c r="AA148" s="19">
        <f>MAX(0,MIN(10,5+50*(D148-0.55)+25*(E148-F148)))</f>
        <v>0.16749999999999776</v>
      </c>
      <c r="AB148" s="19">
        <f>MAX(0,MIN(10,0.2*G148+5*Y148))</f>
        <v>4.4712972972972977</v>
      </c>
      <c r="AC148" s="19">
        <f t="shared" si="92"/>
        <v>3.4274193548387095</v>
      </c>
      <c r="AD148" s="19">
        <f>MAX(0,MIN(10,2+0.15*G148+4*Y148-0.03*((L148+M148)/2)))</f>
        <v>5.4574688378378378</v>
      </c>
      <c r="AE148" s="19">
        <f>MAX(0,MIN(10,0.15*N148+0.08*O148))</f>
        <v>7.2950000000000003E-3</v>
      </c>
      <c r="AF148" s="19"/>
      <c r="AG148" s="19"/>
      <c r="AH148" s="19">
        <f>MAX(0,MIN(10,P148/3.2-2*U148))</f>
        <v>3.9750000000000001</v>
      </c>
      <c r="AI148" s="19">
        <f>10*(0.22*AA148+0.2*AB148+0.18*AC148+0.12*AD148+0.1*AE148+0.13*T148+0.05*AH148)</f>
        <v>27.924207038709671</v>
      </c>
      <c r="AJ148" s="19">
        <f>AI148*V148</f>
        <v>27.924207038709671</v>
      </c>
      <c r="AK148" s="20">
        <f>AJ148*(P148/200)</f>
        <v>1.9546944927096772</v>
      </c>
    </row>
    <row r="149" spans="1:50" x14ac:dyDescent="0.25">
      <c r="A149" t="s">
        <v>202</v>
      </c>
      <c r="B149" s="15">
        <v>1588</v>
      </c>
      <c r="C149" s="15">
        <v>163</v>
      </c>
      <c r="D149" s="16">
        <v>0.47660000000000002</v>
      </c>
      <c r="E149" s="16">
        <v>0.45279999999999998</v>
      </c>
      <c r="F149" s="15">
        <v>0.51</v>
      </c>
      <c r="G149" s="15">
        <v>10.9</v>
      </c>
      <c r="H149" s="15">
        <v>56</v>
      </c>
      <c r="I149" s="17">
        <v>75</v>
      </c>
      <c r="J149" s="15">
        <v>10</v>
      </c>
      <c r="K149" s="15">
        <v>3</v>
      </c>
      <c r="L149" s="16">
        <v>0.84850000000000003</v>
      </c>
      <c r="M149" s="18">
        <v>0.96150000000000002</v>
      </c>
      <c r="N149" s="16">
        <v>2.1600000000000001E-2</v>
      </c>
      <c r="O149" s="16">
        <v>0.12770000000000001</v>
      </c>
      <c r="P149" s="15">
        <f>798/42</f>
        <v>19</v>
      </c>
      <c r="Q149" s="15"/>
      <c r="R149" s="15"/>
      <c r="S149" s="15"/>
      <c r="T149" s="15">
        <v>6</v>
      </c>
      <c r="U149" s="15">
        <v>0.2</v>
      </c>
      <c r="V149" s="15">
        <v>1</v>
      </c>
      <c r="W149" s="15"/>
      <c r="X149" s="19">
        <f>IF(B149=0,0,100*(C149+2*H149+3*I149)/B149)</f>
        <v>31.486146095717885</v>
      </c>
      <c r="Y149" s="19">
        <f>IF(C149=0,0,(J149+K149)/C149)</f>
        <v>7.9754601226993863E-2</v>
      </c>
      <c r="Z149" s="19"/>
      <c r="AA149" s="19">
        <f>MAX(0,MIN(10,5+50*(D149-0.55)+25*(E149-F149)))</f>
        <v>0</v>
      </c>
      <c r="AB149" s="19">
        <f>MAX(0,MIN(10,0.2*G149+5*Y149))</f>
        <v>2.5787730061349694</v>
      </c>
      <c r="AC149" s="19">
        <f t="shared" si="92"/>
        <v>7.8715365239294712</v>
      </c>
      <c r="AD149" s="19">
        <f>MAX(0,MIN(10,2+0.15*G149+4*Y149-0.03*((L149+M149)/2)))</f>
        <v>3.9268684049079754</v>
      </c>
      <c r="AE149" s="19">
        <f>MAX(0,MIN(10,0.15*N149+0.08*O149))</f>
        <v>1.3456000000000001E-2</v>
      </c>
      <c r="AF149" s="19"/>
      <c r="AG149" s="19"/>
      <c r="AH149" s="19">
        <f>MAX(0,MIN(10,P149/3.2-2*U149))</f>
        <v>5.5374999999999996</v>
      </c>
      <c r="AI149" s="19">
        <f>10*(0.22*AA149+0.2*AB149+0.18*AC149+0.12*AD149+0.1*AE149+0.13*T149+0.05*AH149)</f>
        <v>34.620759841232555</v>
      </c>
      <c r="AJ149" s="19">
        <f>AI149*V149</f>
        <v>34.620759841232555</v>
      </c>
      <c r="AK149" s="20">
        <f>AJ149*(P149/200)</f>
        <v>3.288972184917093</v>
      </c>
    </row>
    <row r="150" spans="1:50" x14ac:dyDescent="0.25">
      <c r="A150" t="s">
        <v>203</v>
      </c>
      <c r="B150" s="16">
        <v>0.57299999999999995</v>
      </c>
      <c r="C150" s="16">
        <v>0.50900000000000001</v>
      </c>
      <c r="D150" s="15">
        <v>0.23200000000000001</v>
      </c>
      <c r="E150" s="15">
        <v>0.39400000000000002</v>
      </c>
      <c r="F150" s="16">
        <v>1.9E-2</v>
      </c>
      <c r="G150" s="16">
        <v>0.11899999999999999</v>
      </c>
      <c r="H150" s="16">
        <v>0.255</v>
      </c>
      <c r="I150" s="23">
        <v>1.6E-2</v>
      </c>
      <c r="J150" s="16">
        <v>7.0000000000000001E-3</v>
      </c>
      <c r="K150" s="18">
        <v>0.21</v>
      </c>
      <c r="L150" s="16">
        <v>0.24299999999999999</v>
      </c>
      <c r="M150" s="15">
        <v>109.4</v>
      </c>
      <c r="N150" s="15">
        <v>97.5</v>
      </c>
      <c r="O150" s="15">
        <v>0.17299999999999999</v>
      </c>
      <c r="P150" s="15">
        <v>5.9</v>
      </c>
      <c r="Q150" s="15">
        <v>1.9</v>
      </c>
      <c r="R150" s="15">
        <v>7.8</v>
      </c>
      <c r="S150" s="15">
        <v>15</v>
      </c>
      <c r="T150" s="15">
        <v>6</v>
      </c>
      <c r="U150" s="15">
        <v>0.2</v>
      </c>
      <c r="V150" s="15">
        <v>1</v>
      </c>
      <c r="W150" s="15">
        <v>0.98</v>
      </c>
      <c r="X150" s="19">
        <f t="shared" ref="X150" si="107">MAX(0,MIN(100,0.45*M150+0.6*H150+0.35*L150-0.2*K150-15))</f>
        <v>34.426050000000004</v>
      </c>
      <c r="Y150" s="19">
        <f t="shared" ref="Y150" si="108">MAX(0,MIN(1,0.012*L150+0.025*P150+0.3*E150+0.2*D150-0.18))</f>
        <v>0.13501600000000002</v>
      </c>
      <c r="Z150" s="19">
        <f t="shared" ref="Z150" si="109">MAX(0,MIN(10,1+0.45*R150+30*O150+0.04*(M150-N150)))</f>
        <v>10</v>
      </c>
      <c r="AA150" s="19">
        <f t="shared" ref="AA150" si="110">MAX(0,MIN(10,3+20*(B150-0.52)+15*(C150-0.5)+0.06*(M150-100)))</f>
        <v>4.7589999999999986</v>
      </c>
      <c r="AB150" s="19">
        <f t="shared" ref="AB150" si="111">MAX(0,MIN(10,0.16*L150+0.55*P150+4*E150))</f>
        <v>4.8598800000000004</v>
      </c>
      <c r="AC150" s="19">
        <f t="shared" ref="AC150" si="112">MAX(0,MIN(10,2+0.22*H150-0.12*K150+0.15*P150))</f>
        <v>2.9158999999999997</v>
      </c>
      <c r="AD150" s="19">
        <f t="shared" ref="AD150" si="113">MAX(0,MIN(10,2+0.28*P150+0.1*L150+2*D150+1.5*E150))</f>
        <v>4.7313000000000009</v>
      </c>
      <c r="AE150" s="19">
        <f t="shared" ref="AE150" si="114">MAX(0,MIN(10,0.18*F150+0.08*G150))</f>
        <v>1.2939999999999998E-2</v>
      </c>
      <c r="AF150" s="19">
        <f t="shared" ref="AF150" si="115">MAX(0,MIN(10,4+0.3*Q150+0.6*I150+0.5*J150+0.03*(105-N150)))</f>
        <v>4.8080999999999996</v>
      </c>
      <c r="AG150" s="19">
        <f t="shared" ref="AG150" si="116">0.6*AF150+0.4*T150</f>
        <v>5.2848600000000001</v>
      </c>
      <c r="AH150" s="19">
        <f t="shared" ref="AH150" si="117">MAX(0,MIN(10,S150/3.2-2*U150))</f>
        <v>4.2874999999999996</v>
      </c>
      <c r="AI150" s="19">
        <f t="shared" ref="AI150" si="118">10*(0.18*Z150+0.17*AA150+0.15*AB150+0.14*AC150+0.1*AD150+0.08*AE150+0.1*AG150+0.08*AH150)</f>
        <v>50.918892</v>
      </c>
      <c r="AJ150" s="19">
        <f t="shared" ref="AJ150" si="119">AI150*V150*W150</f>
        <v>49.90051416</v>
      </c>
      <c r="AK150" s="20">
        <f t="shared" ref="AK150" si="120">AJ150*(P150/200)</f>
        <v>1.4720651677200001</v>
      </c>
    </row>
    <row r="151" spans="1:50" x14ac:dyDescent="0.25">
      <c r="A151" t="s">
        <v>204</v>
      </c>
      <c r="B151" s="15">
        <v>1921</v>
      </c>
      <c r="C151" s="15">
        <v>450</v>
      </c>
      <c r="D151" s="16">
        <v>0.48570000000000002</v>
      </c>
      <c r="E151" s="16">
        <v>0.42330000000000001</v>
      </c>
      <c r="F151" s="15">
        <v>0.47</v>
      </c>
      <c r="G151" s="15">
        <v>22.73</v>
      </c>
      <c r="H151" s="15">
        <v>84</v>
      </c>
      <c r="I151" s="17">
        <v>126</v>
      </c>
      <c r="J151" s="15">
        <v>114</v>
      </c>
      <c r="K151" s="15">
        <v>18</v>
      </c>
      <c r="L151" s="16">
        <v>0.42420000000000002</v>
      </c>
      <c r="M151" s="16">
        <v>0.875</v>
      </c>
      <c r="N151" s="16">
        <v>1.0500000000000001E-2</v>
      </c>
      <c r="O151" s="16">
        <v>7.22E-2</v>
      </c>
      <c r="P151" s="15">
        <v>34</v>
      </c>
      <c r="Q151" s="15"/>
      <c r="R151" s="15"/>
      <c r="S151" s="15"/>
      <c r="T151" s="15">
        <v>5</v>
      </c>
      <c r="U151" s="15">
        <v>0.2</v>
      </c>
      <c r="V151" s="15">
        <v>1.03</v>
      </c>
      <c r="W151" s="15"/>
      <c r="X151" s="19">
        <f>IF(B151=0,0,100*(C151+2*H151+3*I151)/B151)</f>
        <v>51.847995835502346</v>
      </c>
      <c r="Y151" s="19">
        <f>IF(C151=0,0,(J151+K151)/C151)</f>
        <v>0.29333333333333333</v>
      </c>
      <c r="Z151" s="19"/>
      <c r="AA151" s="19">
        <f>MAX(0,MIN(10,5+50*(D151-0.55)+25*(E151-F151)))</f>
        <v>0.61749999999999972</v>
      </c>
      <c r="AB151" s="19">
        <f>MAX(0,MIN(10,0.2*G151+5*Y151))</f>
        <v>6.012666666666667</v>
      </c>
      <c r="AC151" s="19">
        <f t="shared" si="92"/>
        <v>10</v>
      </c>
      <c r="AD151" s="19">
        <f>MAX(0,MIN(10,2+0.15*G151+4*Y151-0.03*((L151+M151)/2)))</f>
        <v>6.5633453333333334</v>
      </c>
      <c r="AE151" s="19">
        <f>MAX(0,MIN(10,0.15*N151+0.08*O151))</f>
        <v>7.3509999999999999E-3</v>
      </c>
      <c r="AF151" s="19"/>
      <c r="AG151" s="19"/>
      <c r="AH151" s="19">
        <f>MAX(0,MIN(10,P151/3.2-2*U151))</f>
        <v>10</v>
      </c>
      <c r="AI151" s="19">
        <f>10*(0.22*AA151+0.2*AB151+0.18*AC151+0.12*AD151+0.1*AE151+0.13*T151+0.05*AH151)</f>
        <v>50.767198733333331</v>
      </c>
      <c r="AJ151" s="19">
        <f>AI151*V151</f>
        <v>52.290214695333333</v>
      </c>
      <c r="AK151" s="20">
        <f>AJ151*(P151/200)</f>
        <v>8.8893364982066672</v>
      </c>
    </row>
    <row r="152" spans="1:50" s="32" customFormat="1" x14ac:dyDescent="0.25">
      <c r="A152" s="31" t="s">
        <v>205</v>
      </c>
      <c r="I152" s="33"/>
      <c r="AK152" s="24">
        <f>SUM(AK130:AK151)</f>
        <v>97.676038449474959</v>
      </c>
      <c r="AL152" s="3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s="6" customFormat="1" x14ac:dyDescent="0.25">
      <c r="A153" s="5"/>
      <c r="B153" s="4" t="s">
        <v>3</v>
      </c>
      <c r="C153" s="4" t="s">
        <v>4</v>
      </c>
      <c r="D153" s="4" t="s">
        <v>5</v>
      </c>
      <c r="E153" s="4" t="s">
        <v>6</v>
      </c>
      <c r="F153" s="4" t="s">
        <v>7</v>
      </c>
      <c r="G153" s="4" t="s">
        <v>8</v>
      </c>
      <c r="H153" s="4" t="s">
        <v>9</v>
      </c>
      <c r="I153" s="9" t="s">
        <v>10</v>
      </c>
      <c r="J153" s="4" t="s">
        <v>11</v>
      </c>
      <c r="K153" s="4" t="s">
        <v>12</v>
      </c>
      <c r="L153" s="4" t="s">
        <v>13</v>
      </c>
      <c r="M153" s="4" t="s">
        <v>14</v>
      </c>
      <c r="N153" s="4" t="s">
        <v>15</v>
      </c>
      <c r="O153" s="4" t="s">
        <v>16</v>
      </c>
      <c r="P153" s="4" t="s">
        <v>17</v>
      </c>
      <c r="Q153" s="4" t="s">
        <v>18</v>
      </c>
      <c r="R153" s="4" t="s">
        <v>19</v>
      </c>
      <c r="S153" s="4" t="s">
        <v>20</v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3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25" t="s">
        <v>206</v>
      </c>
      <c r="B154" s="11" t="s">
        <v>22</v>
      </c>
      <c r="C154" s="11" t="s">
        <v>23</v>
      </c>
      <c r="D154" s="11" t="s">
        <v>3</v>
      </c>
      <c r="E154" s="11" t="s">
        <v>4</v>
      </c>
      <c r="F154" s="11" t="s">
        <v>24</v>
      </c>
      <c r="G154" s="11" t="s">
        <v>25</v>
      </c>
      <c r="H154" s="11" t="s">
        <v>26</v>
      </c>
      <c r="I154" s="12" t="s">
        <v>27</v>
      </c>
      <c r="J154" s="11" t="s">
        <v>28</v>
      </c>
      <c r="K154" s="11" t="s">
        <v>29</v>
      </c>
      <c r="L154" s="11" t="s">
        <v>30</v>
      </c>
      <c r="M154" s="11" t="s">
        <v>31</v>
      </c>
      <c r="N154" s="11" t="s">
        <v>32</v>
      </c>
      <c r="O154" s="11" t="s">
        <v>33</v>
      </c>
      <c r="P154" s="11" t="s">
        <v>20</v>
      </c>
      <c r="Q154" s="11"/>
      <c r="R154" s="11"/>
      <c r="S154" s="11"/>
      <c r="T154" s="11" t="s">
        <v>34</v>
      </c>
      <c r="U154" s="11" t="s">
        <v>35</v>
      </c>
      <c r="V154" s="11" t="s">
        <v>36</v>
      </c>
      <c r="W154" s="11" t="s">
        <v>37</v>
      </c>
      <c r="X154" s="11" t="s">
        <v>38</v>
      </c>
      <c r="Y154" s="11" t="s">
        <v>39</v>
      </c>
      <c r="Z154" s="11" t="s">
        <v>40</v>
      </c>
      <c r="AA154" s="11" t="s">
        <v>41</v>
      </c>
      <c r="AB154" s="11" t="s">
        <v>42</v>
      </c>
      <c r="AC154" s="11" t="s">
        <v>43</v>
      </c>
      <c r="AD154" s="11" t="s">
        <v>44</v>
      </c>
      <c r="AE154" s="11" t="s">
        <v>45</v>
      </c>
      <c r="AF154" s="11" t="s">
        <v>46</v>
      </c>
      <c r="AG154" s="11" t="s">
        <v>47</v>
      </c>
      <c r="AH154" s="11" t="s">
        <v>48</v>
      </c>
      <c r="AI154" s="11" t="s">
        <v>49</v>
      </c>
      <c r="AJ154" s="11" t="s">
        <v>50</v>
      </c>
      <c r="AK154" s="13" t="s">
        <v>51</v>
      </c>
    </row>
    <row r="155" spans="1:50" x14ac:dyDescent="0.25">
      <c r="A155" t="s">
        <v>207</v>
      </c>
      <c r="B155" s="15">
        <v>1307</v>
      </c>
      <c r="C155" s="15">
        <v>261</v>
      </c>
      <c r="D155" s="16">
        <v>0.46100000000000002</v>
      </c>
      <c r="E155" s="16">
        <v>0.43049999999999999</v>
      </c>
      <c r="F155" s="15">
        <v>0.5</v>
      </c>
      <c r="G155" s="15">
        <v>20.82</v>
      </c>
      <c r="H155" s="15">
        <v>22</v>
      </c>
      <c r="I155" s="17">
        <v>144</v>
      </c>
      <c r="J155" s="15">
        <v>36</v>
      </c>
      <c r="K155" s="15">
        <v>27</v>
      </c>
      <c r="L155" s="16">
        <v>0.37919999999999998</v>
      </c>
      <c r="M155" s="16">
        <v>0.84209999999999996</v>
      </c>
      <c r="N155" s="16">
        <v>3.0700000000000002E-2</v>
      </c>
      <c r="O155" s="16">
        <v>0.13100000000000001</v>
      </c>
      <c r="P155" s="15">
        <v>17</v>
      </c>
      <c r="Q155" s="15"/>
      <c r="R155" s="15"/>
      <c r="S155" s="15"/>
      <c r="T155" s="15">
        <v>5.5</v>
      </c>
      <c r="U155" s="15">
        <v>0.2</v>
      </c>
      <c r="V155" s="15">
        <v>1</v>
      </c>
      <c r="W155" s="15"/>
      <c r="X155" s="19">
        <f>IF(B155=0,0,100*(C155+2*H155+3*I155)/B155)</f>
        <v>56.388676358071919</v>
      </c>
      <c r="Y155" s="19">
        <f>IF(C155=0,0,(J155+K155)/C155)</f>
        <v>0.2413793103448276</v>
      </c>
      <c r="Z155" s="19"/>
      <c r="AA155" s="19">
        <f>MAX(0,MIN(10,5+50*(D155-0.55)+25*(E155-F155)))</f>
        <v>0</v>
      </c>
      <c r="AB155" s="19">
        <f>MAX(0,MIN(10,0.2*G155+5*Y155))</f>
        <v>5.3708965517241385</v>
      </c>
      <c r="AC155" s="19">
        <f t="shared" ref="AC155:AC175" si="121">MAX(0,MIN(10,X155/4))</f>
        <v>10</v>
      </c>
      <c r="AD155" s="19">
        <f>MAX(0,MIN(10,2+0.15*G155+4*Y155-0.03*((L155+M155)/2)))</f>
        <v>6.0701977413793102</v>
      </c>
      <c r="AE155" s="19">
        <f>MAX(0,MIN(10,0.15*N155+0.08*O155))</f>
        <v>1.5085000000000001E-2</v>
      </c>
      <c r="AF155" s="19"/>
      <c r="AG155" s="19"/>
      <c r="AH155" s="19">
        <f>MAX(0,MIN(10,P155/3.2-2*U155))</f>
        <v>4.9124999999999996</v>
      </c>
      <c r="AI155" s="19">
        <f>10*(0.22*AA155+0.2*AB155+0.18*AC155+0.12*AD155+0.1*AE155+0.13*T155+0.05*AH155)</f>
        <v>45.647365393103456</v>
      </c>
      <c r="AJ155" s="19">
        <f>AI155*V155</f>
        <v>45.647365393103456</v>
      </c>
      <c r="AK155" s="20">
        <f>AJ155*(P155/200)</f>
        <v>3.8800260584137942</v>
      </c>
    </row>
    <row r="156" spans="1:50" x14ac:dyDescent="0.25">
      <c r="A156" t="s">
        <v>208</v>
      </c>
      <c r="B156" s="16">
        <v>0.55000000000000004</v>
      </c>
      <c r="C156" s="16">
        <v>0.53900000000000003</v>
      </c>
      <c r="D156" s="15">
        <v>0</v>
      </c>
      <c r="E156" s="15">
        <v>0.27400000000000002</v>
      </c>
      <c r="F156" s="16">
        <v>0.10199999999999999</v>
      </c>
      <c r="G156" s="16">
        <v>0.159</v>
      </c>
      <c r="H156" s="16">
        <v>0.06</v>
      </c>
      <c r="I156" s="23">
        <v>8.9999999999999993E-3</v>
      </c>
      <c r="J156" s="16">
        <v>2.8000000000000001E-2</v>
      </c>
      <c r="K156" s="18">
        <v>0.14799999999999999</v>
      </c>
      <c r="L156" s="16">
        <v>0.217</v>
      </c>
      <c r="M156" s="15">
        <v>104.5</v>
      </c>
      <c r="N156" s="15">
        <v>92.9</v>
      </c>
      <c r="O156" s="15">
        <v>0.153</v>
      </c>
      <c r="P156" s="15">
        <v>3.4</v>
      </c>
      <c r="Q156" s="15">
        <v>1.3</v>
      </c>
      <c r="R156" s="15">
        <v>4.7</v>
      </c>
      <c r="S156" s="15">
        <v>4</v>
      </c>
      <c r="T156" s="15">
        <v>5.5</v>
      </c>
      <c r="U156" s="15">
        <v>0.2</v>
      </c>
      <c r="V156" s="15">
        <v>0.95</v>
      </c>
      <c r="W156" s="15">
        <v>0.9</v>
      </c>
      <c r="X156" s="19">
        <f t="shared" ref="X156:X163" si="122">MAX(0,MIN(100,0.45*M156+0.6*H156+0.35*L156-0.2*K156-15))</f>
        <v>32.107349999999997</v>
      </c>
      <c r="Y156" s="19">
        <f t="shared" ref="Y156:Y163" si="123">MAX(0,MIN(1,0.012*L156+0.025*P156+0.3*E156+0.2*D156-0.18))</f>
        <v>0</v>
      </c>
      <c r="Z156" s="19">
        <f t="shared" ref="Z156:Z163" si="124">MAX(0,MIN(10,1+0.45*R156+30*O156+0.04*(M156-N156)))</f>
        <v>8.1690000000000005</v>
      </c>
      <c r="AA156" s="19">
        <f t="shared" ref="AA156:AA163" si="125">MAX(0,MIN(10,3+20*(B156-0.52)+15*(C156-0.5)+0.06*(M156-100)))</f>
        <v>4.4550000000000018</v>
      </c>
      <c r="AB156" s="19">
        <f t="shared" ref="AB156:AB163" si="126">MAX(0,MIN(10,0.16*L156+0.55*P156+4*E156))</f>
        <v>3.0007200000000003</v>
      </c>
      <c r="AC156" s="19">
        <f t="shared" ref="AC156:AC163" si="127">MAX(0,MIN(10,2+0.22*H156-0.12*K156+0.15*P156))</f>
        <v>2.5054400000000001</v>
      </c>
      <c r="AD156" s="19">
        <f t="shared" ref="AD156:AD163" si="128">MAX(0,MIN(10,2+0.28*P156+0.1*L156+2*D156+1.5*E156))</f>
        <v>3.3847</v>
      </c>
      <c r="AE156" s="19">
        <f t="shared" ref="AE156:AE163" si="129">MAX(0,MIN(10,0.18*F156+0.08*G156))</f>
        <v>3.1079999999999997E-2</v>
      </c>
      <c r="AF156" s="19">
        <f t="shared" ref="AF156:AF163" si="130">MAX(0,MIN(10,4+0.3*Q156+0.6*I156+0.5*J156+0.03*(105-N156)))</f>
        <v>4.7723999999999993</v>
      </c>
      <c r="AG156" s="19">
        <f t="shared" ref="AG156:AG163" si="131">0.6*AF156+0.4*T156</f>
        <v>5.0634399999999999</v>
      </c>
      <c r="AH156" s="19">
        <f t="shared" ref="AH156:AH163" si="132">MAX(0,MIN(10,S156/3.2-2*U156))</f>
        <v>0.85</v>
      </c>
      <c r="AI156" s="19">
        <f t="shared" ref="AI156:AI163" si="133">10*(0.18*Z156+0.17*AA156+0.15*AB156+0.14*AC156+0.1*AD156+0.08*AE156+0.1*AG156+0.08*AH156)</f>
        <v>39.439400000000006</v>
      </c>
      <c r="AJ156" s="19">
        <f t="shared" ref="AJ156:AJ163" si="134">AI156*V156*W156</f>
        <v>33.720687000000005</v>
      </c>
      <c r="AK156" s="20">
        <f t="shared" ref="AK156:AK163" si="135">AJ156*(P156/200)</f>
        <v>0.57325167900000018</v>
      </c>
    </row>
    <row r="157" spans="1:50" x14ac:dyDescent="0.25">
      <c r="A157" t="s">
        <v>209</v>
      </c>
      <c r="B157" s="16">
        <v>0.58799999999999997</v>
      </c>
      <c r="C157" s="16">
        <v>0.56399999999999995</v>
      </c>
      <c r="D157" s="15">
        <v>0.59</v>
      </c>
      <c r="E157" s="15">
        <v>0.17</v>
      </c>
      <c r="F157" s="16">
        <v>0.02</v>
      </c>
      <c r="G157" s="16">
        <v>7.4999999999999997E-2</v>
      </c>
      <c r="H157" s="16">
        <v>0.12</v>
      </c>
      <c r="I157" s="23">
        <v>1.7999999999999999E-2</v>
      </c>
      <c r="J157" s="16">
        <v>3.0000000000000001E-3</v>
      </c>
      <c r="K157" s="18">
        <v>0.13</v>
      </c>
      <c r="L157" s="16">
        <v>0.248</v>
      </c>
      <c r="M157" s="15">
        <v>112</v>
      </c>
      <c r="N157" s="15">
        <v>87</v>
      </c>
      <c r="O157" s="15">
        <v>0.215</v>
      </c>
      <c r="P157" s="15">
        <v>7.4</v>
      </c>
      <c r="Q157" s="15">
        <v>2.6</v>
      </c>
      <c r="R157" s="15">
        <v>10</v>
      </c>
      <c r="S157" s="15">
        <v>8</v>
      </c>
      <c r="T157" s="15">
        <v>5.5</v>
      </c>
      <c r="U157" s="15">
        <v>0.2</v>
      </c>
      <c r="V157" s="15">
        <v>0.97</v>
      </c>
      <c r="W157" s="15">
        <v>0.96</v>
      </c>
      <c r="X157" s="19">
        <f t="shared" si="122"/>
        <v>35.532799999999995</v>
      </c>
      <c r="Y157" s="19">
        <f t="shared" si="123"/>
        <v>0.17697600000000002</v>
      </c>
      <c r="Z157" s="19">
        <f t="shared" si="124"/>
        <v>10</v>
      </c>
      <c r="AA157" s="19">
        <f t="shared" si="125"/>
        <v>6.0399999999999983</v>
      </c>
      <c r="AB157" s="19">
        <f t="shared" si="126"/>
        <v>4.7896799999999997</v>
      </c>
      <c r="AC157" s="19">
        <f t="shared" si="127"/>
        <v>3.1208</v>
      </c>
      <c r="AD157" s="19">
        <f t="shared" si="128"/>
        <v>5.5318000000000005</v>
      </c>
      <c r="AE157" s="19">
        <f t="shared" si="129"/>
        <v>9.6000000000000009E-3</v>
      </c>
      <c r="AF157" s="19">
        <f t="shared" si="130"/>
        <v>5.3323</v>
      </c>
      <c r="AG157" s="19">
        <f t="shared" si="131"/>
        <v>5.3993800000000007</v>
      </c>
      <c r="AH157" s="19">
        <f t="shared" si="132"/>
        <v>2.1</v>
      </c>
      <c r="AI157" s="19">
        <f t="shared" si="133"/>
        <v>52.4405</v>
      </c>
      <c r="AJ157" s="19">
        <f t="shared" si="134"/>
        <v>48.832593599999996</v>
      </c>
      <c r="AK157" s="20">
        <f t="shared" si="135"/>
        <v>1.8068059632</v>
      </c>
    </row>
    <row r="158" spans="1:50" x14ac:dyDescent="0.25">
      <c r="A158" t="s">
        <v>210</v>
      </c>
      <c r="B158" s="16">
        <v>0.47399999999999998</v>
      </c>
      <c r="C158" s="16">
        <v>0.437</v>
      </c>
      <c r="D158" s="15">
        <v>0.61299999999999999</v>
      </c>
      <c r="E158" s="15">
        <v>0.20599999999999999</v>
      </c>
      <c r="F158" s="16">
        <v>5.0000000000000001E-3</v>
      </c>
      <c r="G158" s="16">
        <v>9.8000000000000004E-2</v>
      </c>
      <c r="H158" s="16">
        <v>0.23100000000000001</v>
      </c>
      <c r="I158" s="23">
        <v>2.4E-2</v>
      </c>
      <c r="J158" s="16">
        <v>1.0999999999999999E-2</v>
      </c>
      <c r="K158" s="18">
        <v>0.156</v>
      </c>
      <c r="L158" s="16">
        <v>0.192</v>
      </c>
      <c r="M158" s="15">
        <v>102.1</v>
      </c>
      <c r="N158" s="15">
        <v>87.5</v>
      </c>
      <c r="O158" s="15">
        <v>0.154</v>
      </c>
      <c r="P158" s="15">
        <v>4.5</v>
      </c>
      <c r="Q158" s="15">
        <v>5</v>
      </c>
      <c r="R158" s="15">
        <v>9.5</v>
      </c>
      <c r="S158" s="15">
        <v>8</v>
      </c>
      <c r="T158" s="15">
        <v>5.5</v>
      </c>
      <c r="U158" s="15">
        <v>0.2</v>
      </c>
      <c r="V158" s="15">
        <v>0.97</v>
      </c>
      <c r="W158" s="15">
        <v>0.95</v>
      </c>
      <c r="X158" s="19">
        <f t="shared" si="122"/>
        <v>31.119599999999998</v>
      </c>
      <c r="Y158" s="19">
        <f t="shared" si="123"/>
        <v>0.11920399999999998</v>
      </c>
      <c r="Z158" s="19">
        <f t="shared" si="124"/>
        <v>10</v>
      </c>
      <c r="AA158" s="19">
        <f t="shared" si="125"/>
        <v>1.2609999999999988</v>
      </c>
      <c r="AB158" s="19">
        <f t="shared" si="126"/>
        <v>3.32972</v>
      </c>
      <c r="AC158" s="19">
        <f t="shared" si="127"/>
        <v>2.7070999999999996</v>
      </c>
      <c r="AD158" s="19">
        <f t="shared" si="128"/>
        <v>4.8142000000000005</v>
      </c>
      <c r="AE158" s="19">
        <f t="shared" si="129"/>
        <v>8.7399999999999995E-3</v>
      </c>
      <c r="AF158" s="19">
        <f t="shared" si="130"/>
        <v>6.0449000000000002</v>
      </c>
      <c r="AG158" s="19">
        <f t="shared" si="131"/>
        <v>5.8269400000000005</v>
      </c>
      <c r="AH158" s="19">
        <f t="shared" si="132"/>
        <v>2.1</v>
      </c>
      <c r="AI158" s="19">
        <f t="shared" si="133"/>
        <v>41.256351999999993</v>
      </c>
      <c r="AJ158" s="19">
        <f t="shared" si="134"/>
        <v>38.017728367999986</v>
      </c>
      <c r="AK158" s="20">
        <f t="shared" si="135"/>
        <v>0.85539888827999966</v>
      </c>
    </row>
    <row r="159" spans="1:50" x14ac:dyDescent="0.25">
      <c r="A159" t="s">
        <v>211</v>
      </c>
      <c r="B159" s="16">
        <v>0.55800000000000005</v>
      </c>
      <c r="C159" s="16">
        <v>0.53</v>
      </c>
      <c r="D159" s="15">
        <v>0.42</v>
      </c>
      <c r="E159" s="15">
        <v>0.153</v>
      </c>
      <c r="F159" s="16">
        <v>7.9000000000000001E-2</v>
      </c>
      <c r="G159" s="16">
        <v>0.16600000000000001</v>
      </c>
      <c r="H159" s="16">
        <v>0.14099999999999999</v>
      </c>
      <c r="I159" s="23">
        <v>2.5000000000000001E-2</v>
      </c>
      <c r="J159" s="16">
        <v>7.0000000000000001E-3</v>
      </c>
      <c r="K159" s="18">
        <v>0.17100000000000001</v>
      </c>
      <c r="L159" s="16">
        <v>0.28999999999999998</v>
      </c>
      <c r="M159" s="15">
        <v>105.6</v>
      </c>
      <c r="N159" s="15">
        <v>80.8</v>
      </c>
      <c r="O159" s="15">
        <v>0.245</v>
      </c>
      <c r="P159" s="15">
        <v>6.1</v>
      </c>
      <c r="Q159" s="15">
        <v>3.5</v>
      </c>
      <c r="R159" s="15">
        <v>9.6</v>
      </c>
      <c r="S159" s="15">
        <v>12</v>
      </c>
      <c r="T159" s="15">
        <v>6</v>
      </c>
      <c r="U159" s="15">
        <v>0.2</v>
      </c>
      <c r="V159" s="15">
        <v>0.98</v>
      </c>
      <c r="W159" s="15">
        <v>0.96</v>
      </c>
      <c r="X159" s="19">
        <f t="shared" si="122"/>
        <v>32.671900000000001</v>
      </c>
      <c r="Y159" s="19">
        <f t="shared" si="123"/>
        <v>0.10588000000000003</v>
      </c>
      <c r="Z159" s="19">
        <f t="shared" si="124"/>
        <v>10</v>
      </c>
      <c r="AA159" s="19">
        <f t="shared" si="125"/>
        <v>4.5460000000000003</v>
      </c>
      <c r="AB159" s="19">
        <f t="shared" si="126"/>
        <v>4.0133999999999999</v>
      </c>
      <c r="AC159" s="19">
        <f t="shared" si="127"/>
        <v>2.9255</v>
      </c>
      <c r="AD159" s="19">
        <f t="shared" si="128"/>
        <v>4.8064999999999998</v>
      </c>
      <c r="AE159" s="19">
        <f t="shared" si="129"/>
        <v>2.75E-2</v>
      </c>
      <c r="AF159" s="19">
        <f t="shared" si="130"/>
        <v>5.7944999999999993</v>
      </c>
      <c r="AG159" s="19">
        <f t="shared" si="131"/>
        <v>5.8766999999999996</v>
      </c>
      <c r="AH159" s="19">
        <f t="shared" si="132"/>
        <v>3.35</v>
      </c>
      <c r="AI159" s="19">
        <f t="shared" si="133"/>
        <v>49.229200000000006</v>
      </c>
      <c r="AJ159" s="19">
        <f t="shared" si="134"/>
        <v>46.314831360000007</v>
      </c>
      <c r="AK159" s="20">
        <f t="shared" si="135"/>
        <v>1.4126023564800001</v>
      </c>
    </row>
    <row r="160" spans="1:50" x14ac:dyDescent="0.25">
      <c r="A160" t="s">
        <v>212</v>
      </c>
      <c r="B160" s="16">
        <v>0.57499999999999996</v>
      </c>
      <c r="C160" s="16">
        <v>0.52800000000000002</v>
      </c>
      <c r="D160" s="15">
        <v>0.375</v>
      </c>
      <c r="E160" s="15">
        <v>0.34100000000000003</v>
      </c>
      <c r="F160" s="16">
        <v>7.0999999999999994E-2</v>
      </c>
      <c r="G160" s="16">
        <v>0.125</v>
      </c>
      <c r="H160" s="16">
        <v>7.4999999999999997E-2</v>
      </c>
      <c r="I160" s="23">
        <v>2.8000000000000001E-2</v>
      </c>
      <c r="J160" s="16">
        <v>0.02</v>
      </c>
      <c r="K160" s="18">
        <v>0.14299999999999999</v>
      </c>
      <c r="L160" s="16">
        <v>0.16300000000000001</v>
      </c>
      <c r="M160" s="15">
        <v>117.6</v>
      </c>
      <c r="N160" s="15">
        <v>90.8</v>
      </c>
      <c r="O160" s="15">
        <v>0.182</v>
      </c>
      <c r="P160" s="15">
        <v>4.9000000000000004</v>
      </c>
      <c r="Q160" s="15">
        <v>3.2</v>
      </c>
      <c r="R160" s="15">
        <v>8.1</v>
      </c>
      <c r="S160" s="15">
        <v>7</v>
      </c>
      <c r="T160" s="15">
        <v>6.5</v>
      </c>
      <c r="U160" s="15">
        <v>0.2</v>
      </c>
      <c r="V160" s="15">
        <v>0.94</v>
      </c>
      <c r="W160" s="15">
        <v>0.94</v>
      </c>
      <c r="X160" s="19">
        <f t="shared" si="122"/>
        <v>37.993450000000003</v>
      </c>
      <c r="Y160" s="19">
        <f t="shared" si="123"/>
        <v>0.12175600000000003</v>
      </c>
      <c r="Z160" s="19">
        <f t="shared" si="124"/>
        <v>10</v>
      </c>
      <c r="AA160" s="19">
        <f t="shared" si="125"/>
        <v>5.5759999999999987</v>
      </c>
      <c r="AB160" s="19">
        <f t="shared" si="126"/>
        <v>4.0850800000000005</v>
      </c>
      <c r="AC160" s="19">
        <f t="shared" si="127"/>
        <v>2.73434</v>
      </c>
      <c r="AD160" s="19">
        <f t="shared" si="128"/>
        <v>4.6498000000000008</v>
      </c>
      <c r="AE160" s="19">
        <f t="shared" si="129"/>
        <v>2.2779999999999998E-2</v>
      </c>
      <c r="AF160" s="19">
        <f t="shared" si="130"/>
        <v>5.4127999999999998</v>
      </c>
      <c r="AG160" s="19">
        <f t="shared" si="131"/>
        <v>5.8476800000000004</v>
      </c>
      <c r="AH160" s="19">
        <f t="shared" si="132"/>
        <v>1.7875000000000001</v>
      </c>
      <c r="AI160" s="19">
        <f t="shared" si="133"/>
        <v>49.380600000000001</v>
      </c>
      <c r="AJ160" s="19">
        <f t="shared" si="134"/>
        <v>43.632698159999997</v>
      </c>
      <c r="AK160" s="20">
        <f t="shared" si="135"/>
        <v>1.0690011049199999</v>
      </c>
    </row>
    <row r="161" spans="1:50" x14ac:dyDescent="0.25">
      <c r="A161" t="s">
        <v>213</v>
      </c>
      <c r="B161" s="16">
        <v>0.55300000000000005</v>
      </c>
      <c r="C161" s="16">
        <v>0.49099999999999999</v>
      </c>
      <c r="D161" s="15">
        <v>0.52</v>
      </c>
      <c r="E161" s="15">
        <v>0.38600000000000001</v>
      </c>
      <c r="F161" s="16">
        <v>2.4E-2</v>
      </c>
      <c r="G161" s="16">
        <v>0.10100000000000001</v>
      </c>
      <c r="H161" s="16">
        <v>0.17</v>
      </c>
      <c r="I161" s="23">
        <v>2.7E-2</v>
      </c>
      <c r="J161" s="16">
        <v>8.0000000000000002E-3</v>
      </c>
      <c r="K161" s="18">
        <v>0.187</v>
      </c>
      <c r="L161" s="16">
        <v>0.25800000000000001</v>
      </c>
      <c r="M161" s="15">
        <v>102.4</v>
      </c>
      <c r="N161" s="15">
        <v>87.4</v>
      </c>
      <c r="O161" s="15">
        <v>0.185</v>
      </c>
      <c r="P161" s="15">
        <v>4.5</v>
      </c>
      <c r="Q161" s="15">
        <v>2.5</v>
      </c>
      <c r="R161" s="15">
        <v>7</v>
      </c>
      <c r="S161" s="15">
        <v>5</v>
      </c>
      <c r="T161" s="15">
        <v>4.5</v>
      </c>
      <c r="U161" s="15">
        <v>0.2</v>
      </c>
      <c r="V161" s="15">
        <v>0.95</v>
      </c>
      <c r="W161" s="15">
        <v>0.93</v>
      </c>
      <c r="X161" s="19">
        <f t="shared" si="122"/>
        <v>31.234900000000003</v>
      </c>
      <c r="Y161" s="19">
        <f t="shared" si="123"/>
        <v>0.15539600000000003</v>
      </c>
      <c r="Z161" s="19">
        <f t="shared" si="124"/>
        <v>10</v>
      </c>
      <c r="AA161" s="19">
        <f t="shared" si="125"/>
        <v>3.6690000000000005</v>
      </c>
      <c r="AB161" s="19">
        <f t="shared" si="126"/>
        <v>4.0602800000000006</v>
      </c>
      <c r="AC161" s="19">
        <f t="shared" si="127"/>
        <v>2.6899599999999997</v>
      </c>
      <c r="AD161" s="19">
        <f t="shared" si="128"/>
        <v>4.9047999999999998</v>
      </c>
      <c r="AE161" s="19">
        <f t="shared" si="129"/>
        <v>1.2400000000000001E-2</v>
      </c>
      <c r="AF161" s="19">
        <f t="shared" si="130"/>
        <v>5.2981999999999996</v>
      </c>
      <c r="AG161" s="19">
        <f t="shared" si="131"/>
        <v>4.9789199999999996</v>
      </c>
      <c r="AH161" s="19">
        <f t="shared" si="132"/>
        <v>1.1625000000000001</v>
      </c>
      <c r="AI161" s="19">
        <f t="shared" si="133"/>
        <v>44.917304000000009</v>
      </c>
      <c r="AJ161" s="19">
        <f t="shared" si="134"/>
        <v>39.684438084000007</v>
      </c>
      <c r="AK161" s="20">
        <f t="shared" si="135"/>
        <v>0.89289985689000018</v>
      </c>
    </row>
    <row r="162" spans="1:50" x14ac:dyDescent="0.25">
      <c r="A162" t="s">
        <v>214</v>
      </c>
      <c r="B162" s="16">
        <v>0.51400000000000001</v>
      </c>
      <c r="C162" s="16">
        <v>0.47</v>
      </c>
      <c r="D162" s="15">
        <v>0.108</v>
      </c>
      <c r="E162" s="15">
        <v>0.34799999999999998</v>
      </c>
      <c r="F162" s="16">
        <v>8.2000000000000003E-2</v>
      </c>
      <c r="G162" s="16">
        <v>0.14799999999999999</v>
      </c>
      <c r="H162" s="16">
        <v>7.0999999999999994E-2</v>
      </c>
      <c r="I162" s="23">
        <v>1.6E-2</v>
      </c>
      <c r="J162" s="16">
        <v>1.7000000000000001E-2</v>
      </c>
      <c r="K162" s="18">
        <v>0.11</v>
      </c>
      <c r="L162" s="16">
        <v>0.24099999999999999</v>
      </c>
      <c r="M162" s="15">
        <v>106.3</v>
      </c>
      <c r="N162" s="15">
        <v>93</v>
      </c>
      <c r="O162" s="15">
        <v>0.17</v>
      </c>
      <c r="P162" s="15">
        <v>5.2</v>
      </c>
      <c r="Q162" s="15">
        <v>1.6</v>
      </c>
      <c r="R162" s="15">
        <v>6.8</v>
      </c>
      <c r="S162" s="15">
        <v>3</v>
      </c>
      <c r="T162" s="15">
        <v>5.5</v>
      </c>
      <c r="U162" s="15">
        <v>0.2</v>
      </c>
      <c r="V162" s="15">
        <v>0.93</v>
      </c>
      <c r="W162" s="15">
        <v>0.91</v>
      </c>
      <c r="X162" s="19">
        <f t="shared" si="122"/>
        <v>32.939950000000003</v>
      </c>
      <c r="Y162" s="19">
        <f t="shared" si="123"/>
        <v>7.8892000000000018E-2</v>
      </c>
      <c r="Z162" s="19">
        <f t="shared" si="124"/>
        <v>9.6920000000000002</v>
      </c>
      <c r="AA162" s="19">
        <f t="shared" si="125"/>
        <v>2.8079999999999994</v>
      </c>
      <c r="AB162" s="19">
        <f t="shared" si="126"/>
        <v>4.2905600000000002</v>
      </c>
      <c r="AC162" s="19">
        <f t="shared" si="127"/>
        <v>2.7824200000000001</v>
      </c>
      <c r="AD162" s="19">
        <f t="shared" si="128"/>
        <v>4.2181000000000006</v>
      </c>
      <c r="AE162" s="19">
        <f t="shared" si="129"/>
        <v>2.6599999999999999E-2</v>
      </c>
      <c r="AF162" s="19">
        <f t="shared" si="130"/>
        <v>4.8581000000000003</v>
      </c>
      <c r="AG162" s="19">
        <f t="shared" si="131"/>
        <v>5.1148600000000002</v>
      </c>
      <c r="AH162" s="19">
        <f t="shared" si="132"/>
        <v>0.53749999999999998</v>
      </c>
      <c r="AI162" s="19">
        <f t="shared" si="133"/>
        <v>42.334668000000008</v>
      </c>
      <c r="AJ162" s="19">
        <f t="shared" si="134"/>
        <v>35.827829528400009</v>
      </c>
      <c r="AK162" s="20">
        <f t="shared" si="135"/>
        <v>0.93152356773840028</v>
      </c>
    </row>
    <row r="163" spans="1:50" x14ac:dyDescent="0.25">
      <c r="A163" t="s">
        <v>215</v>
      </c>
      <c r="B163" s="16">
        <v>0.34100000000000003</v>
      </c>
      <c r="C163" s="16">
        <v>0.30599999999999999</v>
      </c>
      <c r="D163" s="15">
        <v>0.46899999999999997</v>
      </c>
      <c r="E163" s="15">
        <v>0.16300000000000001</v>
      </c>
      <c r="F163" s="16">
        <v>5.8000000000000003E-2</v>
      </c>
      <c r="G163" s="16">
        <v>0.20499999999999999</v>
      </c>
      <c r="H163" s="16">
        <v>0.14299999999999999</v>
      </c>
      <c r="I163" s="23">
        <v>0.02</v>
      </c>
      <c r="J163" s="16">
        <v>3.4000000000000002E-2</v>
      </c>
      <c r="K163" s="18">
        <v>0.221</v>
      </c>
      <c r="L163" s="16">
        <v>0.17</v>
      </c>
      <c r="M163" s="15">
        <v>82.1</v>
      </c>
      <c r="N163" s="15">
        <v>72</v>
      </c>
      <c r="O163" s="15">
        <v>0.14199999999999999</v>
      </c>
      <c r="P163" s="15">
        <v>0</v>
      </c>
      <c r="Q163" s="15">
        <v>4.4000000000000004</v>
      </c>
      <c r="R163" s="15">
        <v>4.4000000000000004</v>
      </c>
      <c r="S163" s="15">
        <v>6</v>
      </c>
      <c r="T163" s="15">
        <v>5</v>
      </c>
      <c r="U163" s="15">
        <v>0.2</v>
      </c>
      <c r="V163" s="15">
        <v>0.94</v>
      </c>
      <c r="W163" s="15">
        <v>0.92</v>
      </c>
      <c r="X163" s="19">
        <f t="shared" si="122"/>
        <v>22.046100000000003</v>
      </c>
      <c r="Y163" s="19">
        <f t="shared" si="123"/>
        <v>0</v>
      </c>
      <c r="Z163" s="19">
        <f t="shared" si="124"/>
        <v>7.6440000000000001</v>
      </c>
      <c r="AA163" s="19">
        <f t="shared" si="125"/>
        <v>0</v>
      </c>
      <c r="AB163" s="19">
        <f t="shared" si="126"/>
        <v>0.67920000000000003</v>
      </c>
      <c r="AC163" s="19">
        <f t="shared" si="127"/>
        <v>2.0049399999999999</v>
      </c>
      <c r="AD163" s="19">
        <f t="shared" si="128"/>
        <v>3.1995</v>
      </c>
      <c r="AE163" s="19">
        <f t="shared" si="129"/>
        <v>2.6839999999999996E-2</v>
      </c>
      <c r="AF163" s="19">
        <f t="shared" si="130"/>
        <v>6.3390000000000004</v>
      </c>
      <c r="AG163" s="19">
        <f t="shared" si="131"/>
        <v>5.8033999999999999</v>
      </c>
      <c r="AH163" s="19">
        <f t="shared" si="132"/>
        <v>1.4750000000000001</v>
      </c>
      <c r="AI163" s="19">
        <f t="shared" si="133"/>
        <v>27.789287999999999</v>
      </c>
      <c r="AJ163" s="19">
        <f t="shared" si="134"/>
        <v>24.0321762624</v>
      </c>
      <c r="AK163" s="20">
        <f t="shared" si="135"/>
        <v>0</v>
      </c>
    </row>
    <row r="164" spans="1:50" x14ac:dyDescent="0.25">
      <c r="A164" t="s">
        <v>216</v>
      </c>
      <c r="B164" s="15">
        <v>476</v>
      </c>
      <c r="C164" s="15">
        <v>48</v>
      </c>
      <c r="D164" s="16">
        <v>0.46150000000000002</v>
      </c>
      <c r="E164" s="16">
        <v>0.43</v>
      </c>
      <c r="F164" s="15">
        <v>0.46</v>
      </c>
      <c r="G164" s="15">
        <v>12.48</v>
      </c>
      <c r="H164" s="15">
        <v>16</v>
      </c>
      <c r="I164" s="17">
        <v>15</v>
      </c>
      <c r="J164" s="15">
        <v>12</v>
      </c>
      <c r="K164" s="15">
        <v>0</v>
      </c>
      <c r="L164" s="16">
        <v>0.57140000000000002</v>
      </c>
      <c r="M164" s="18">
        <v>1</v>
      </c>
      <c r="N164" s="16">
        <v>1.9900000000000001E-2</v>
      </c>
      <c r="O164" s="16">
        <v>6.9099999999999995E-2</v>
      </c>
      <c r="P164" s="15">
        <v>14</v>
      </c>
      <c r="Q164" s="15"/>
      <c r="R164" s="15"/>
      <c r="S164" s="15"/>
      <c r="T164" s="15">
        <v>4</v>
      </c>
      <c r="U164" s="15">
        <v>0.2</v>
      </c>
      <c r="V164" s="15">
        <v>1</v>
      </c>
      <c r="W164" s="15"/>
      <c r="X164" s="19">
        <f>IF(B164=0,0,100*(C164+2*H164+3*I164)/B164)</f>
        <v>26.260504201680671</v>
      </c>
      <c r="Y164" s="19">
        <f>IF(C164=0,0,(J164+K164)/C164)</f>
        <v>0.25</v>
      </c>
      <c r="Z164" s="19"/>
      <c r="AA164" s="19">
        <f>MAX(0,MIN(10,5+50*(D164-0.55)+25*(E164-F164)))</f>
        <v>0</v>
      </c>
      <c r="AB164" s="19">
        <f>MAX(0,MIN(10,0.2*G164+5*Y164))</f>
        <v>3.7460000000000004</v>
      </c>
      <c r="AC164" s="19">
        <f t="shared" ref="AC164:AC174" si="136">MAX(0,MIN(10,X164/4))</f>
        <v>6.5651260504201678</v>
      </c>
      <c r="AD164" s="19">
        <f>MAX(0,MIN(10,2+0.15*G164+4*Y164-0.03*((L164+M164)/2)))</f>
        <v>4.8484290000000003</v>
      </c>
      <c r="AE164" s="19">
        <f>MAX(0,MIN(10,0.15*N164+0.08*O164))</f>
        <v>8.5129999999999997E-3</v>
      </c>
      <c r="AF164" s="19"/>
      <c r="AG164" s="19"/>
      <c r="AH164" s="19">
        <f>MAX(0,MIN(10,P164/3.2-2*U164))</f>
        <v>3.9750000000000001</v>
      </c>
      <c r="AI164" s="19">
        <f>10*(0.22*AA164+0.2*AB164+0.18*AC164+0.12*AD164+0.1*AE164+0.13*T164+0.05*AH164)</f>
        <v>32.323354690756304</v>
      </c>
      <c r="AJ164" s="19">
        <f>AI164*V164</f>
        <v>32.323354690756304</v>
      </c>
      <c r="AK164" s="20">
        <f>AJ164*(P164/200)</f>
        <v>2.2626348283529416</v>
      </c>
    </row>
    <row r="165" spans="1:50" x14ac:dyDescent="0.25">
      <c r="A165" t="s">
        <v>217</v>
      </c>
      <c r="B165" s="15">
        <v>728</v>
      </c>
      <c r="C165" s="15">
        <v>156</v>
      </c>
      <c r="D165" s="16">
        <v>0.54169999999999996</v>
      </c>
      <c r="E165" s="16">
        <v>0.46929999999999999</v>
      </c>
      <c r="F165" s="15">
        <v>0.5</v>
      </c>
      <c r="G165" s="15">
        <v>20.79</v>
      </c>
      <c r="H165" s="15">
        <v>56</v>
      </c>
      <c r="I165" s="17">
        <v>9</v>
      </c>
      <c r="J165" s="15">
        <v>42</v>
      </c>
      <c r="K165" s="15">
        <v>0</v>
      </c>
      <c r="L165" s="16">
        <v>0.57140000000000002</v>
      </c>
      <c r="M165" s="18">
        <v>1</v>
      </c>
      <c r="N165" s="16">
        <v>9.7299999999999998E-2</v>
      </c>
      <c r="O165" s="16">
        <v>0.2278</v>
      </c>
      <c r="P165" s="15">
        <v>14</v>
      </c>
      <c r="Q165" s="15"/>
      <c r="R165" s="15"/>
      <c r="S165" s="15"/>
      <c r="T165" s="15">
        <v>8.5</v>
      </c>
      <c r="U165" s="15">
        <v>0.2</v>
      </c>
      <c r="V165" s="15">
        <v>1</v>
      </c>
      <c r="W165" s="15"/>
      <c r="X165" s="19">
        <f>IF(B165=0,0,100*(C165+2*H165+3*I165)/B165)</f>
        <v>40.521978021978022</v>
      </c>
      <c r="Y165" s="19">
        <f>IF(C165=0,0,(J165+K165)/C165)</f>
        <v>0.26923076923076922</v>
      </c>
      <c r="Z165" s="19"/>
      <c r="AA165" s="19">
        <f>MAX(0,MIN(10,5+50*(D165-0.55)+25*(E165-F165)))</f>
        <v>3.8174999999999955</v>
      </c>
      <c r="AB165" s="19">
        <f>MAX(0,MIN(10,0.2*G165+5*Y165))</f>
        <v>5.5041538461538462</v>
      </c>
      <c r="AC165" s="19">
        <f t="shared" si="136"/>
        <v>10</v>
      </c>
      <c r="AD165" s="19">
        <f>MAX(0,MIN(10,2+0.15*G165+4*Y165-0.03*((L165+M165)/2)))</f>
        <v>6.1718520769230762</v>
      </c>
      <c r="AE165" s="19">
        <f>MAX(0,MIN(10,0.15*N165+0.08*O165))</f>
        <v>3.2819000000000001E-2</v>
      </c>
      <c r="AF165" s="19"/>
      <c r="AG165" s="19"/>
      <c r="AH165" s="19">
        <f>MAX(0,MIN(10,P165/3.2-2*U165))</f>
        <v>3.9750000000000001</v>
      </c>
      <c r="AI165" s="19">
        <f>10*(0.22*AA165+0.2*AB165+0.18*AC165+0.12*AD165+0.1*AE165+0.13*T165+0.05*AH165)</f>
        <v>57.883349184615383</v>
      </c>
      <c r="AJ165" s="19">
        <f>AI165*V165</f>
        <v>57.883349184615383</v>
      </c>
      <c r="AK165" s="20">
        <f>AJ165*(P165/200)</f>
        <v>4.0518344429230773</v>
      </c>
    </row>
    <row r="166" spans="1:50" x14ac:dyDescent="0.25">
      <c r="A166" t="s">
        <v>218</v>
      </c>
      <c r="B166" s="15">
        <v>2712</v>
      </c>
      <c r="C166" s="15">
        <v>510</v>
      </c>
      <c r="D166" s="16">
        <v>0.51</v>
      </c>
      <c r="E166" s="16">
        <v>0.47549999999999998</v>
      </c>
      <c r="F166" s="15">
        <v>0.5</v>
      </c>
      <c r="G166" s="15">
        <v>19.14</v>
      </c>
      <c r="H166" s="15">
        <v>132</v>
      </c>
      <c r="I166" s="17">
        <v>138</v>
      </c>
      <c r="J166" s="15">
        <v>164</v>
      </c>
      <c r="K166" s="15">
        <v>12</v>
      </c>
      <c r="L166" s="16">
        <v>0.44590000000000002</v>
      </c>
      <c r="M166" s="18">
        <v>0.92</v>
      </c>
      <c r="N166" s="16">
        <v>1.84E-2</v>
      </c>
      <c r="O166" s="16">
        <v>0.1226</v>
      </c>
      <c r="P166" s="15">
        <v>32</v>
      </c>
      <c r="Q166" s="15"/>
      <c r="R166" s="15"/>
      <c r="S166" s="15"/>
      <c r="T166" s="15">
        <v>6</v>
      </c>
      <c r="U166" s="15">
        <v>0.2</v>
      </c>
      <c r="V166" s="15">
        <v>1.02</v>
      </c>
      <c r="W166" s="15"/>
      <c r="X166" s="19">
        <f>IF(B166=0,0,100*(C166+2*H166+3*I166)/B166)</f>
        <v>43.805309734513273</v>
      </c>
      <c r="Y166" s="19">
        <f>IF(C166=0,0,(J166+K166)/C166)</f>
        <v>0.34509803921568627</v>
      </c>
      <c r="Z166" s="19"/>
      <c r="AA166" s="19">
        <f>MAX(0,MIN(10,5+50*(D166-0.55)+25*(E166-F166)))</f>
        <v>2.3874999999999975</v>
      </c>
      <c r="AB166" s="19">
        <f>MAX(0,MIN(10,0.2*G166+5*Y166))</f>
        <v>5.5534901960784318</v>
      </c>
      <c r="AC166" s="19">
        <f t="shared" si="136"/>
        <v>10</v>
      </c>
      <c r="AD166" s="19">
        <f>MAX(0,MIN(10,2+0.15*G166+4*Y166-0.03*((L166+M166)/2)))</f>
        <v>6.2309036568627461</v>
      </c>
      <c r="AE166" s="19">
        <f>MAX(0,MIN(10,0.15*N166+0.08*O166))</f>
        <v>1.2568000000000001E-2</v>
      </c>
      <c r="AF166" s="19"/>
      <c r="AG166" s="19"/>
      <c r="AH166" s="19">
        <f>MAX(0,MIN(10,P166/3.2-2*U166))</f>
        <v>9.6</v>
      </c>
      <c r="AI166" s="19">
        <f>10*(0.22*AA166+0.2*AB166+0.18*AC166+0.12*AD166+0.1*AE166+0.13*T166+0.05*AH166)</f>
        <v>54.449132780392162</v>
      </c>
      <c r="AJ166" s="19">
        <f>AI166*V166</f>
        <v>55.538115436000005</v>
      </c>
      <c r="AK166" s="20">
        <f>AJ166*(P166/200)</f>
        <v>8.8860984697600003</v>
      </c>
    </row>
    <row r="167" spans="1:50" x14ac:dyDescent="0.25">
      <c r="A167" t="s">
        <v>219</v>
      </c>
      <c r="B167" s="16">
        <v>0.504</v>
      </c>
      <c r="C167" s="16">
        <v>0.47899999999999998</v>
      </c>
      <c r="D167" s="15">
        <v>0.52400000000000002</v>
      </c>
      <c r="E167" s="15">
        <v>0.23499999999999999</v>
      </c>
      <c r="F167" s="16">
        <v>3.2000000000000001E-2</v>
      </c>
      <c r="G167" s="16">
        <v>0.11799999999999999</v>
      </c>
      <c r="H167" s="16">
        <v>0.215</v>
      </c>
      <c r="I167" s="23">
        <v>0.02</v>
      </c>
      <c r="J167" s="16">
        <v>4.0000000000000001E-3</v>
      </c>
      <c r="K167" s="18">
        <v>0.15</v>
      </c>
      <c r="L167" s="16">
        <v>0.245</v>
      </c>
      <c r="M167" s="15">
        <v>109.5</v>
      </c>
      <c r="N167" s="15">
        <v>87</v>
      </c>
      <c r="O167" s="15">
        <v>0.22</v>
      </c>
      <c r="P167" s="15">
        <v>7.2</v>
      </c>
      <c r="Q167" s="15">
        <v>3.8</v>
      </c>
      <c r="R167" s="15">
        <v>11</v>
      </c>
      <c r="S167" s="15">
        <v>18</v>
      </c>
      <c r="T167" s="15">
        <v>6</v>
      </c>
      <c r="U167" s="15">
        <v>0.2</v>
      </c>
      <c r="V167" s="15">
        <v>1.01</v>
      </c>
      <c r="W167" s="15">
        <v>1.02</v>
      </c>
      <c r="X167" s="19">
        <f t="shared" ref="X167" si="137">MAX(0,MIN(100,0.45*M167+0.6*H167+0.35*L167-0.2*K167-15))</f>
        <v>34.459749999999993</v>
      </c>
      <c r="Y167" s="19">
        <f t="shared" ref="Y167" si="138">MAX(0,MIN(1,0.012*L167+0.025*P167+0.3*E167+0.2*D167-0.18))</f>
        <v>0.17824000000000001</v>
      </c>
      <c r="Z167" s="19">
        <f t="shared" ref="Z167" si="139">MAX(0,MIN(10,1+0.45*R167+30*O167+0.04*(M167-N167)))</f>
        <v>10</v>
      </c>
      <c r="AA167" s="19">
        <f t="shared" ref="AA167" si="140">MAX(0,MIN(10,3+20*(B167-0.52)+15*(C167-0.5)+0.06*(M167-100)))</f>
        <v>2.9349999999999992</v>
      </c>
      <c r="AB167" s="19">
        <f t="shared" ref="AB167" si="141">MAX(0,MIN(10,0.16*L167+0.55*P167+4*E167))</f>
        <v>4.9392000000000005</v>
      </c>
      <c r="AC167" s="19">
        <f t="shared" ref="AC167" si="142">MAX(0,MIN(10,2+0.22*H167-0.12*K167+0.15*P167))</f>
        <v>3.1093000000000002</v>
      </c>
      <c r="AD167" s="19">
        <f t="shared" ref="AD167" si="143">MAX(0,MIN(10,2+0.28*P167+0.1*L167+2*D167+1.5*E167))</f>
        <v>5.4409999999999998</v>
      </c>
      <c r="AE167" s="19">
        <f t="shared" ref="AE167" si="144">MAX(0,MIN(10,0.18*F167+0.08*G167))</f>
        <v>1.52E-2</v>
      </c>
      <c r="AF167" s="19">
        <f t="shared" ref="AF167" si="145">MAX(0,MIN(10,4+0.3*Q167+0.6*I167+0.5*J167+0.03*(105-N167)))</f>
        <v>5.6939999999999991</v>
      </c>
      <c r="AG167" s="19">
        <f t="shared" ref="AG167" si="146">0.6*AF167+0.4*T167</f>
        <v>5.8163999999999998</v>
      </c>
      <c r="AH167" s="19">
        <f t="shared" ref="AH167" si="147">MAX(0,MIN(10,S167/3.2-2*U167))</f>
        <v>5.2249999999999996</v>
      </c>
      <c r="AI167" s="19">
        <f t="shared" ref="AI167" si="148">10*(0.18*Z167+0.17*AA167+0.15*AB167+0.14*AC167+0.1*AD167+0.08*AE167+0.1*AG167+0.08*AH167)</f>
        <v>50.200880000000005</v>
      </c>
      <c r="AJ167" s="19">
        <f t="shared" ref="AJ167" si="149">AI167*V167*W167</f>
        <v>51.716946576000005</v>
      </c>
      <c r="AK167" s="20">
        <f t="shared" ref="AK167" si="150">AJ167*(P167/200)</f>
        <v>1.8618100767360004</v>
      </c>
    </row>
    <row r="168" spans="1:50" x14ac:dyDescent="0.25">
      <c r="A168" t="s">
        <v>220</v>
      </c>
      <c r="B168" s="15">
        <v>1270</v>
      </c>
      <c r="C168" s="15">
        <v>308</v>
      </c>
      <c r="D168" s="16">
        <v>0.4919</v>
      </c>
      <c r="E168" s="16">
        <v>0.43480000000000002</v>
      </c>
      <c r="F168" s="15">
        <v>0.49</v>
      </c>
      <c r="G168" s="15">
        <v>23.34</v>
      </c>
      <c r="H168" s="15">
        <v>66</v>
      </c>
      <c r="I168" s="17">
        <v>114</v>
      </c>
      <c r="J168" s="15">
        <v>54</v>
      </c>
      <c r="K168" s="15">
        <v>6</v>
      </c>
      <c r="L168" s="16">
        <v>0.55000000000000004</v>
      </c>
      <c r="M168" s="18">
        <v>0.95</v>
      </c>
      <c r="N168" s="16">
        <v>6.2300000000000001E-2</v>
      </c>
      <c r="O168" s="16">
        <v>0.17280000000000001</v>
      </c>
      <c r="P168" s="15">
        <v>31</v>
      </c>
      <c r="Q168" s="15"/>
      <c r="R168" s="15"/>
      <c r="S168" s="15"/>
      <c r="T168" s="15">
        <v>8</v>
      </c>
      <c r="U168" s="15">
        <v>0.2</v>
      </c>
      <c r="V168" s="15">
        <v>1.02</v>
      </c>
      <c r="W168" s="15"/>
      <c r="X168" s="19">
        <f>IF(B168=0,0,100*(C168+2*H168+3*I168)/B168)</f>
        <v>61.574803149606296</v>
      </c>
      <c r="Y168" s="19">
        <f>IF(C168=0,0,(J168+K168)/C168)</f>
        <v>0.19480519480519481</v>
      </c>
      <c r="Z168" s="19"/>
      <c r="AA168" s="19">
        <f>MAX(0,MIN(10,5+50*(D168-0.55)+25*(E168-F168)))</f>
        <v>0.71499999999999875</v>
      </c>
      <c r="AB168" s="19">
        <f>MAX(0,MIN(10,0.2*G168+5*Y168))</f>
        <v>5.6420259740259739</v>
      </c>
      <c r="AC168" s="19">
        <f t="shared" si="136"/>
        <v>10</v>
      </c>
      <c r="AD168" s="19">
        <f>MAX(0,MIN(10,2+0.15*G168+4*Y168-0.03*((L168+M168)/2)))</f>
        <v>6.2577207792207785</v>
      </c>
      <c r="AE168" s="19">
        <f>MAX(0,MIN(10,0.15*N168+0.08*O168))</f>
        <v>2.3169000000000002E-2</v>
      </c>
      <c r="AF168" s="19"/>
      <c r="AG168" s="19"/>
      <c r="AH168" s="19">
        <f>MAX(0,MIN(10,P168/3.2-2*U168))</f>
        <v>9.2874999999999996</v>
      </c>
      <c r="AI168" s="19">
        <f>10*(0.22*AA168+0.2*AB168+0.18*AC168+0.12*AD168+0.1*AE168+0.13*T168+0.05*AH168)</f>
        <v>53.433235883116872</v>
      </c>
      <c r="AJ168" s="19">
        <f>AI168*V168</f>
        <v>54.501900600779209</v>
      </c>
      <c r="AK168" s="20">
        <f>AJ168*(P168/200)</f>
        <v>8.4477945931207774</v>
      </c>
    </row>
    <row r="169" spans="1:50" x14ac:dyDescent="0.25">
      <c r="A169" t="s">
        <v>221</v>
      </c>
      <c r="B169" s="15">
        <v>1147</v>
      </c>
      <c r="C169" s="15">
        <v>223</v>
      </c>
      <c r="D169" s="16">
        <v>0.52839999999999998</v>
      </c>
      <c r="E169" s="16">
        <v>0.48670000000000002</v>
      </c>
      <c r="F169" s="15">
        <v>0.51</v>
      </c>
      <c r="G169" s="15">
        <v>18.28</v>
      </c>
      <c r="H169" s="15">
        <v>76</v>
      </c>
      <c r="I169" s="17">
        <v>75</v>
      </c>
      <c r="J169" s="15">
        <v>32</v>
      </c>
      <c r="K169" s="15">
        <v>0</v>
      </c>
      <c r="L169" s="16">
        <v>0.70369999999999999</v>
      </c>
      <c r="M169" s="18">
        <v>1</v>
      </c>
      <c r="N169" s="16">
        <v>8.1100000000000005E-2</v>
      </c>
      <c r="O169" s="16">
        <v>0.1658</v>
      </c>
      <c r="P169" s="15">
        <v>17.5</v>
      </c>
      <c r="Q169" s="15"/>
      <c r="R169" s="15"/>
      <c r="S169" s="15"/>
      <c r="T169" s="15">
        <v>7</v>
      </c>
      <c r="U169" s="15">
        <v>0.2</v>
      </c>
      <c r="V169" s="15">
        <v>1</v>
      </c>
      <c r="W169" s="15"/>
      <c r="X169" s="19">
        <f>IF(B169=0,0,100*(C169+2*H169+3*I169)/B169)</f>
        <v>52.310374891020054</v>
      </c>
      <c r="Y169" s="19">
        <f>IF(C169=0,0,(J169+K169)/C169)</f>
        <v>0.14349775784753363</v>
      </c>
      <c r="Z169" s="19"/>
      <c r="AA169" s="19">
        <f>MAX(0,MIN(10,5+50*(D169-0.55)+25*(E169-F169)))</f>
        <v>3.3374999999999972</v>
      </c>
      <c r="AB169" s="19">
        <f>MAX(0,MIN(10,0.2*G169+5*Y169))</f>
        <v>4.373488789237669</v>
      </c>
      <c r="AC169" s="19">
        <f t="shared" si="136"/>
        <v>10</v>
      </c>
      <c r="AD169" s="19">
        <f>MAX(0,MIN(10,2+0.15*G169+4*Y169-0.03*((L169+M169)/2)))</f>
        <v>5.2904355313901341</v>
      </c>
      <c r="AE169" s="19">
        <f>MAX(0,MIN(10,0.15*N169+0.08*O169))</f>
        <v>2.5429E-2</v>
      </c>
      <c r="AF169" s="19"/>
      <c r="AG169" s="19"/>
      <c r="AH169" s="19">
        <f>MAX(0,MIN(10,P169/3.2-2*U169))</f>
        <v>5.0687499999999996</v>
      </c>
      <c r="AI169" s="19">
        <f>10*(0.22*AA169+0.2*AB169+0.18*AC169+0.12*AD169+0.1*AE169+0.13*T169+0.05*AH169)</f>
        <v>52.097804216143487</v>
      </c>
      <c r="AJ169" s="19">
        <f>AI169*V169</f>
        <v>52.097804216143487</v>
      </c>
      <c r="AK169" s="20">
        <f>AJ169*(P169/200)</f>
        <v>4.5585578689125548</v>
      </c>
    </row>
    <row r="170" spans="1:50" x14ac:dyDescent="0.25">
      <c r="A170" t="s">
        <v>222</v>
      </c>
      <c r="B170" s="15">
        <v>890</v>
      </c>
      <c r="C170" s="15">
        <v>195</v>
      </c>
      <c r="D170" s="16">
        <v>0.60940000000000005</v>
      </c>
      <c r="E170" s="16">
        <v>0.58819999999999995</v>
      </c>
      <c r="F170" s="15">
        <v>0.5</v>
      </c>
      <c r="G170" s="15">
        <v>17.72</v>
      </c>
      <c r="H170" s="15">
        <v>40</v>
      </c>
      <c r="I170" s="17">
        <v>135</v>
      </c>
      <c r="J170" s="15">
        <v>2</v>
      </c>
      <c r="K170" s="15">
        <v>3</v>
      </c>
      <c r="L170" s="16">
        <v>0.95240000000000002</v>
      </c>
      <c r="M170" s="18">
        <v>0.97829999999999995</v>
      </c>
      <c r="N170" s="16">
        <v>4.7100000000000003E-2</v>
      </c>
      <c r="O170" s="16">
        <v>0.12659999999999999</v>
      </c>
      <c r="P170" s="15">
        <v>24</v>
      </c>
      <c r="Q170" s="15"/>
      <c r="R170" s="15"/>
      <c r="S170" s="15"/>
      <c r="T170" s="15">
        <v>6</v>
      </c>
      <c r="U170" s="15">
        <v>0.2</v>
      </c>
      <c r="V170" s="15">
        <v>1</v>
      </c>
      <c r="W170" s="15"/>
      <c r="X170" s="19">
        <f>IF(B170=0,0,100*(C170+2*H170+3*I170)/B170)</f>
        <v>76.404494382022477</v>
      </c>
      <c r="Y170" s="19">
        <f>IF(C170=0,0,(J170+K170)/C170)</f>
        <v>2.564102564102564E-2</v>
      </c>
      <c r="Z170" s="19"/>
      <c r="AA170" s="19">
        <f>MAX(0,MIN(10,5+50*(D170-0.55)+25*(E170-F170)))</f>
        <v>10</v>
      </c>
      <c r="AB170" s="19">
        <f>MAX(0,MIN(10,0.2*G170+5*Y170))</f>
        <v>3.6722051282051282</v>
      </c>
      <c r="AC170" s="19">
        <f t="shared" si="136"/>
        <v>10</v>
      </c>
      <c r="AD170" s="19">
        <f>MAX(0,MIN(10,2+0.15*G170+4*Y170-0.03*((L170+M170)/2)))</f>
        <v>4.7316036025641015</v>
      </c>
      <c r="AE170" s="19">
        <f>MAX(0,MIN(10,0.15*N170+0.08*O170))</f>
        <v>1.7193E-2</v>
      </c>
      <c r="AF170" s="19"/>
      <c r="AG170" s="19"/>
      <c r="AH170" s="19">
        <f>MAX(0,MIN(10,P170/3.2-2*U170))</f>
        <v>7.1</v>
      </c>
      <c r="AI170" s="19">
        <f>10*(0.22*AA170+0.2*AB170+0.18*AC170+0.12*AD170+0.1*AE170+0.13*T170+0.05*AH170)</f>
        <v>64.389527579487194</v>
      </c>
      <c r="AJ170" s="19">
        <f>AI170*V170</f>
        <v>64.389527579487194</v>
      </c>
      <c r="AK170" s="20">
        <f>AJ170*(P170/200)</f>
        <v>7.7267433095384632</v>
      </c>
    </row>
    <row r="171" spans="1:50" x14ac:dyDescent="0.25">
      <c r="A171" t="s">
        <v>223</v>
      </c>
      <c r="B171" s="15">
        <v>1800</v>
      </c>
      <c r="C171" s="15">
        <v>407</v>
      </c>
      <c r="D171" s="16">
        <v>0.52190000000000003</v>
      </c>
      <c r="E171" s="16">
        <v>0.49309999999999998</v>
      </c>
      <c r="F171" s="15">
        <v>0.48</v>
      </c>
      <c r="G171" s="15">
        <v>21.17</v>
      </c>
      <c r="H171" s="15">
        <v>120</v>
      </c>
      <c r="I171" s="17">
        <v>186</v>
      </c>
      <c r="J171" s="15">
        <v>48</v>
      </c>
      <c r="K171" s="15">
        <v>3</v>
      </c>
      <c r="L171" s="16">
        <v>0.71430000000000005</v>
      </c>
      <c r="M171" s="18">
        <v>0.98409999999999997</v>
      </c>
      <c r="N171" s="16">
        <v>3.3700000000000001E-2</v>
      </c>
      <c r="O171" s="16">
        <v>0.14630000000000001</v>
      </c>
      <c r="P171" s="15">
        <v>27</v>
      </c>
      <c r="Q171" s="15"/>
      <c r="R171" s="15"/>
      <c r="S171" s="15"/>
      <c r="T171" s="15">
        <v>6.5</v>
      </c>
      <c r="U171" s="15">
        <v>0.2</v>
      </c>
      <c r="V171" s="15">
        <v>1</v>
      </c>
      <c r="W171" s="15"/>
      <c r="X171" s="19">
        <f>IF(B171=0,0,100*(C171+2*H171+3*I171)/B171)</f>
        <v>66.944444444444443</v>
      </c>
      <c r="Y171" s="19">
        <f>IF(C171=0,0,(J171+K171)/C171)</f>
        <v>0.12530712530712532</v>
      </c>
      <c r="Z171" s="19"/>
      <c r="AA171" s="19">
        <f>MAX(0,MIN(10,5+50*(D171-0.55)+25*(E171-F171)))</f>
        <v>3.9224999999999994</v>
      </c>
      <c r="AB171" s="19">
        <f>MAX(0,MIN(10,0.2*G171+5*Y171))</f>
        <v>4.8605356265356274</v>
      </c>
      <c r="AC171" s="19">
        <f t="shared" si="136"/>
        <v>10</v>
      </c>
      <c r="AD171" s="19">
        <f>MAX(0,MIN(10,2+0.15*G171+4*Y171-0.03*((L171+M171)/2)))</f>
        <v>5.6512525012285009</v>
      </c>
      <c r="AE171" s="19">
        <f>MAX(0,MIN(10,0.15*N171+0.08*O171))</f>
        <v>1.6759E-2</v>
      </c>
      <c r="AF171" s="19"/>
      <c r="AG171" s="19"/>
      <c r="AH171" s="19">
        <f>MAX(0,MIN(10,P171/3.2-2*U171))</f>
        <v>8.0374999999999996</v>
      </c>
      <c r="AI171" s="19">
        <f>10*(0.22*AA171+0.2*AB171+0.18*AC171+0.12*AD171+0.1*AE171+0.13*T171+0.05*AH171)</f>
        <v>55.617583254545465</v>
      </c>
      <c r="AJ171" s="19">
        <f>AI171*V171</f>
        <v>55.617583254545465</v>
      </c>
      <c r="AK171" s="20">
        <f>AJ171*(P171/200)</f>
        <v>7.5083737393636385</v>
      </c>
    </row>
    <row r="172" spans="1:50" x14ac:dyDescent="0.25">
      <c r="A172" t="s">
        <v>224</v>
      </c>
      <c r="B172" s="15">
        <v>1296</v>
      </c>
      <c r="C172" s="15">
        <v>303</v>
      </c>
      <c r="D172" s="16">
        <v>0.54910000000000003</v>
      </c>
      <c r="E172" s="16">
        <v>0.50419999999999998</v>
      </c>
      <c r="F172" s="15">
        <v>0.49</v>
      </c>
      <c r="G172" s="15">
        <v>21.63</v>
      </c>
      <c r="H172" s="15">
        <v>34</v>
      </c>
      <c r="I172" s="17">
        <v>96</v>
      </c>
      <c r="J172" s="15">
        <v>82</v>
      </c>
      <c r="K172" s="15">
        <v>27</v>
      </c>
      <c r="L172" s="16">
        <v>0.29310000000000003</v>
      </c>
      <c r="M172" s="18">
        <v>0.78049999999999997</v>
      </c>
      <c r="N172" s="16">
        <v>2.7400000000000001E-2</v>
      </c>
      <c r="O172" s="16">
        <v>0.1172</v>
      </c>
      <c r="P172" s="15">
        <v>28</v>
      </c>
      <c r="Q172" s="15"/>
      <c r="R172" s="15"/>
      <c r="S172" s="15"/>
      <c r="T172" s="15">
        <v>5.5</v>
      </c>
      <c r="U172" s="15">
        <v>0.2</v>
      </c>
      <c r="V172" s="15">
        <v>1</v>
      </c>
      <c r="W172" s="15"/>
      <c r="X172" s="19">
        <f>IF(B172=0,0,100*(C172+2*H172+3*I172)/B172)</f>
        <v>50.848765432098766</v>
      </c>
      <c r="Y172" s="19">
        <f>IF(C172=0,0,(J172+K172)/C172)</f>
        <v>0.35973597359735976</v>
      </c>
      <c r="Z172" s="19"/>
      <c r="AA172" s="19">
        <f>MAX(0,MIN(10,5+50*(D172-0.55)+25*(E172-F172)))</f>
        <v>5.3099999999999987</v>
      </c>
      <c r="AB172" s="19">
        <f>MAX(0,MIN(10,0.2*G172+5*Y172))</f>
        <v>6.1246798679867984</v>
      </c>
      <c r="AC172" s="19">
        <f t="shared" si="136"/>
        <v>10</v>
      </c>
      <c r="AD172" s="19">
        <f>MAX(0,MIN(10,2+0.15*G172+4*Y172-0.03*((L172+M172)/2)))</f>
        <v>6.6673398943894391</v>
      </c>
      <c r="AE172" s="19">
        <f>MAX(0,MIN(10,0.15*N172+0.08*O172))</f>
        <v>1.3486000000000001E-2</v>
      </c>
      <c r="AF172" s="19"/>
      <c r="AG172" s="19"/>
      <c r="AH172" s="19">
        <f>MAX(0,MIN(10,P172/3.2-2*U172))</f>
        <v>8.35</v>
      </c>
      <c r="AI172" s="19">
        <f>10*(0.22*AA172+0.2*AB172+0.18*AC172+0.12*AD172+0.1*AE172+0.13*T172+0.05*AH172)</f>
        <v>61.270653609240924</v>
      </c>
      <c r="AJ172" s="19">
        <f>AI172*V172</f>
        <v>61.270653609240924</v>
      </c>
      <c r="AK172" s="20">
        <f>AJ172*(P172/200)</f>
        <v>8.5778915052937297</v>
      </c>
    </row>
    <row r="173" spans="1:50" x14ac:dyDescent="0.25">
      <c r="A173" t="s">
        <v>225</v>
      </c>
      <c r="B173" s="15">
        <v>835</v>
      </c>
      <c r="C173" s="15">
        <v>199</v>
      </c>
      <c r="D173" s="16">
        <v>0.60299999999999998</v>
      </c>
      <c r="E173" s="16">
        <v>0.56999999999999995</v>
      </c>
      <c r="F173" s="15">
        <v>0.47</v>
      </c>
      <c r="G173" s="15">
        <v>20.13</v>
      </c>
      <c r="H173" s="15">
        <v>26</v>
      </c>
      <c r="I173" s="17">
        <v>96</v>
      </c>
      <c r="J173" s="15">
        <v>34</v>
      </c>
      <c r="K173" s="15">
        <v>15</v>
      </c>
      <c r="L173" s="16">
        <v>0.43330000000000002</v>
      </c>
      <c r="M173" s="18">
        <v>0.8649</v>
      </c>
      <c r="N173" s="16">
        <v>1.24E-2</v>
      </c>
      <c r="O173" s="16">
        <v>0.1225</v>
      </c>
      <c r="P173" s="15">
        <v>25</v>
      </c>
      <c r="Q173" s="15"/>
      <c r="R173" s="15"/>
      <c r="S173" s="15"/>
      <c r="T173" s="15">
        <v>6</v>
      </c>
      <c r="U173" s="15">
        <v>0.2</v>
      </c>
      <c r="V173" s="15">
        <v>1</v>
      </c>
      <c r="W173" s="15"/>
      <c r="X173" s="19">
        <f>IF(B173=0,0,100*(C173+2*H173+3*I173)/B173)</f>
        <v>64.550898203592808</v>
      </c>
      <c r="Y173" s="19">
        <f>IF(C173=0,0,(J173+K173)/C173)</f>
        <v>0.24623115577889448</v>
      </c>
      <c r="Z173" s="19"/>
      <c r="AA173" s="19">
        <f>MAX(0,MIN(10,5+50*(D173-0.55)+25*(E173-F173)))</f>
        <v>10</v>
      </c>
      <c r="AB173" s="19">
        <f>MAX(0,MIN(10,0.2*G173+5*Y173))</f>
        <v>5.2571557788944725</v>
      </c>
      <c r="AC173" s="19">
        <f t="shared" si="136"/>
        <v>10</v>
      </c>
      <c r="AD173" s="19">
        <f>MAX(0,MIN(10,2+0.15*G173+4*Y173-0.03*((L173+M173)/2)))</f>
        <v>5.9849516231155784</v>
      </c>
      <c r="AE173" s="19">
        <f>MAX(0,MIN(10,0.15*N173+0.08*O173))</f>
        <v>1.166E-2</v>
      </c>
      <c r="AF173" s="19"/>
      <c r="AG173" s="19"/>
      <c r="AH173" s="19">
        <f>MAX(0,MIN(10,P173/3.2-2*U173))</f>
        <v>7.4124999999999996</v>
      </c>
      <c r="AI173" s="19">
        <f>10*(0.22*AA173+0.2*AB173+0.18*AC173+0.12*AD173+0.1*AE173+0.13*T173+0.05*AH173)</f>
        <v>69.214163505527637</v>
      </c>
      <c r="AJ173" s="19">
        <f>AI173*V173</f>
        <v>69.214163505527637</v>
      </c>
      <c r="AK173" s="20">
        <f>AJ173*(P173/200)</f>
        <v>8.6517704381909546</v>
      </c>
    </row>
    <row r="174" spans="1:50" x14ac:dyDescent="0.25">
      <c r="A174" t="s">
        <v>226</v>
      </c>
      <c r="B174" s="15">
        <v>1000</v>
      </c>
      <c r="C174" s="15">
        <v>44</v>
      </c>
      <c r="D174" s="16">
        <v>0.4</v>
      </c>
      <c r="E174" s="16">
        <v>0.38240000000000002</v>
      </c>
      <c r="F174" s="15">
        <v>0.54</v>
      </c>
      <c r="G174" s="15">
        <v>6.33</v>
      </c>
      <c r="H174" s="15">
        <v>30</v>
      </c>
      <c r="I174" s="17">
        <v>9</v>
      </c>
      <c r="J174" s="15">
        <v>0</v>
      </c>
      <c r="K174" s="15">
        <v>0</v>
      </c>
      <c r="L174" s="16">
        <v>1</v>
      </c>
      <c r="M174" s="18">
        <v>1</v>
      </c>
      <c r="N174" s="16">
        <v>5.45E-2</v>
      </c>
      <c r="O174" s="16">
        <v>0.2215</v>
      </c>
      <c r="P174" s="15">
        <v>14</v>
      </c>
      <c r="Q174" s="15"/>
      <c r="R174" s="15"/>
      <c r="S174" s="15"/>
      <c r="T174" s="15">
        <v>8</v>
      </c>
      <c r="U174" s="15">
        <v>0.2</v>
      </c>
      <c r="V174" s="15">
        <v>1</v>
      </c>
      <c r="W174" s="15"/>
      <c r="X174" s="19">
        <f>IF(B174=0,0,100*(C174+2*H174+3*I174)/B174)</f>
        <v>13.1</v>
      </c>
      <c r="Y174" s="19">
        <f>IF(C174=0,0,(J174+K174)/C174)</f>
        <v>0</v>
      </c>
      <c r="Z174" s="19"/>
      <c r="AA174" s="19">
        <f>MAX(0,MIN(10,5+50*(D174-0.55)+25*(E174-F174)))</f>
        <v>0</v>
      </c>
      <c r="AB174" s="19">
        <f>MAX(0,MIN(10,0.2*G174+5*Y174))</f>
        <v>1.266</v>
      </c>
      <c r="AC174" s="19">
        <f t="shared" si="136"/>
        <v>3.2749999999999999</v>
      </c>
      <c r="AD174" s="19">
        <f>MAX(0,MIN(10,2+0.15*G174+4*Y174-0.03*((L174+M174)/2)))</f>
        <v>2.9195000000000002</v>
      </c>
      <c r="AE174" s="19">
        <f>MAX(0,MIN(10,0.15*N174+0.08*O174))</f>
        <v>2.5895000000000001E-2</v>
      </c>
      <c r="AF174" s="19"/>
      <c r="AG174" s="19"/>
      <c r="AH174" s="19">
        <f>MAX(0,MIN(10,P174/3.2-2*U174))</f>
        <v>3.9750000000000001</v>
      </c>
      <c r="AI174" s="19">
        <f>10*(0.22*AA174+0.2*AB174+0.18*AC174+0.12*AD174+0.1*AE174+0.13*T174+0.05*AH174)</f>
        <v>24.343795</v>
      </c>
      <c r="AJ174" s="19">
        <f>AI174*V174</f>
        <v>24.343795</v>
      </c>
      <c r="AK174" s="20">
        <f>AJ174*(P174/200)</f>
        <v>1.7040656500000002</v>
      </c>
    </row>
    <row r="175" spans="1:50" x14ac:dyDescent="0.25">
      <c r="A175" t="s">
        <v>227</v>
      </c>
      <c r="B175" s="15">
        <v>2404</v>
      </c>
      <c r="C175" s="15">
        <v>525</v>
      </c>
      <c r="D175" s="16">
        <v>0.55459999999999998</v>
      </c>
      <c r="E175" s="16">
        <v>0.4662</v>
      </c>
      <c r="F175" s="15">
        <v>0.48</v>
      </c>
      <c r="G175" s="15">
        <v>20.03</v>
      </c>
      <c r="H175" s="15">
        <v>64</v>
      </c>
      <c r="I175" s="17">
        <v>138</v>
      </c>
      <c r="J175" s="15">
        <v>112</v>
      </c>
      <c r="K175" s="15">
        <v>45</v>
      </c>
      <c r="L175" s="16">
        <v>0.36359999999999998</v>
      </c>
      <c r="M175" s="16">
        <v>0.75409999999999999</v>
      </c>
      <c r="N175" s="16">
        <v>3.95E-2</v>
      </c>
      <c r="O175" s="16">
        <v>0.11269999999999999</v>
      </c>
      <c r="P175" s="15">
        <v>31</v>
      </c>
      <c r="Q175" s="15"/>
      <c r="R175" s="15"/>
      <c r="S175" s="15"/>
      <c r="T175" s="15">
        <v>5.5</v>
      </c>
      <c r="U175" s="15">
        <v>0.2</v>
      </c>
      <c r="V175" s="15">
        <v>1.03</v>
      </c>
      <c r="W175" s="15"/>
      <c r="X175" s="19">
        <f>IF(B175=0,0,100*(C175+2*H175+3*I175)/B175)</f>
        <v>44.384359400998335</v>
      </c>
      <c r="Y175" s="19">
        <f>IF(C175=0,0,(J175+K175)/C175)</f>
        <v>0.29904761904761906</v>
      </c>
      <c r="Z175" s="19"/>
      <c r="AA175" s="19">
        <f>MAX(0,MIN(10,5+50*(D175-0.55)+25*(E175-F175)))</f>
        <v>4.8849999999999971</v>
      </c>
      <c r="AB175" s="19">
        <f>MAX(0,MIN(10,0.2*G175+5*Y175))</f>
        <v>5.5012380952380955</v>
      </c>
      <c r="AC175" s="19">
        <f t="shared" si="121"/>
        <v>10</v>
      </c>
      <c r="AD175" s="19">
        <f>MAX(0,MIN(10,2+0.15*G175+4*Y175-0.03*((L175+M175)/2)))</f>
        <v>6.1839249761904762</v>
      </c>
      <c r="AE175" s="19">
        <f>MAX(0,MIN(10,0.15*N175+0.08*O175))</f>
        <v>1.4940999999999999E-2</v>
      </c>
      <c r="AF175" s="19"/>
      <c r="AG175" s="19"/>
      <c r="AH175" s="19">
        <f>MAX(0,MIN(10,P175/3.2-2*U175))</f>
        <v>9.2874999999999996</v>
      </c>
      <c r="AI175" s="19">
        <f>10*(0.22*AA175+0.2*AB175+0.18*AC175+0.12*AD175+0.1*AE175+0.13*T175+0.05*AH175)</f>
        <v>58.978877161904748</v>
      </c>
      <c r="AJ175" s="19">
        <f>AI175*V175</f>
        <v>60.748243476761893</v>
      </c>
      <c r="AK175" s="20">
        <f>AJ175*(P175/200)</f>
        <v>9.4159777388980928</v>
      </c>
    </row>
    <row r="176" spans="1:50" s="32" customFormat="1" x14ac:dyDescent="0.25">
      <c r="A176" s="31" t="s">
        <v>228</v>
      </c>
      <c r="I176" s="33"/>
      <c r="AK176" s="24">
        <f>SUM(AK155:AK175)</f>
        <v>85.07506213601242</v>
      </c>
      <c r="AL176" s="3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s="6" customFormat="1" x14ac:dyDescent="0.25">
      <c r="A177" s="5"/>
      <c r="B177" s="4" t="s">
        <v>3</v>
      </c>
      <c r="C177" s="4" t="s">
        <v>4</v>
      </c>
      <c r="D177" s="4" t="s">
        <v>5</v>
      </c>
      <c r="E177" s="4" t="s">
        <v>6</v>
      </c>
      <c r="F177" s="4" t="s">
        <v>7</v>
      </c>
      <c r="G177" s="4" t="s">
        <v>8</v>
      </c>
      <c r="H177" s="4" t="s">
        <v>9</v>
      </c>
      <c r="I177" s="9" t="s">
        <v>10</v>
      </c>
      <c r="J177" s="4" t="s">
        <v>11</v>
      </c>
      <c r="K177" s="4" t="s">
        <v>12</v>
      </c>
      <c r="L177" s="4" t="s">
        <v>13</v>
      </c>
      <c r="M177" s="4" t="s">
        <v>14</v>
      </c>
      <c r="N177" s="4" t="s">
        <v>15</v>
      </c>
      <c r="O177" s="4" t="s">
        <v>16</v>
      </c>
      <c r="P177" s="4" t="s">
        <v>17</v>
      </c>
      <c r="Q177" s="4" t="s">
        <v>18</v>
      </c>
      <c r="R177" s="4" t="s">
        <v>19</v>
      </c>
      <c r="S177" s="4" t="s">
        <v>20</v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3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25" t="s">
        <v>229</v>
      </c>
      <c r="B178" s="11" t="s">
        <v>22</v>
      </c>
      <c r="C178" s="11" t="s">
        <v>23</v>
      </c>
      <c r="D178" s="11" t="s">
        <v>3</v>
      </c>
      <c r="E178" s="11" t="s">
        <v>4</v>
      </c>
      <c r="F178" s="11" t="s">
        <v>24</v>
      </c>
      <c r="G178" s="11" t="s">
        <v>25</v>
      </c>
      <c r="H178" s="11" t="s">
        <v>26</v>
      </c>
      <c r="I178" s="12" t="s">
        <v>27</v>
      </c>
      <c r="J178" s="11" t="s">
        <v>28</v>
      </c>
      <c r="K178" s="11" t="s">
        <v>29</v>
      </c>
      <c r="L178" s="11" t="s">
        <v>30</v>
      </c>
      <c r="M178" s="11" t="s">
        <v>31</v>
      </c>
      <c r="N178" s="11" t="s">
        <v>32</v>
      </c>
      <c r="O178" s="11" t="s">
        <v>33</v>
      </c>
      <c r="P178" s="11" t="s">
        <v>20</v>
      </c>
      <c r="Q178" s="11"/>
      <c r="R178" s="11"/>
      <c r="S178" s="11"/>
      <c r="T178" s="11" t="s">
        <v>34</v>
      </c>
      <c r="U178" s="11" t="s">
        <v>35</v>
      </c>
      <c r="V178" s="11" t="s">
        <v>36</v>
      </c>
      <c r="W178" s="11" t="s">
        <v>37</v>
      </c>
      <c r="X178" s="11" t="s">
        <v>38</v>
      </c>
      <c r="Y178" s="11" t="s">
        <v>39</v>
      </c>
      <c r="Z178" s="11" t="s">
        <v>40</v>
      </c>
      <c r="AA178" s="11" t="s">
        <v>41</v>
      </c>
      <c r="AB178" s="11" t="s">
        <v>42</v>
      </c>
      <c r="AC178" s="11" t="s">
        <v>43</v>
      </c>
      <c r="AD178" s="11" t="s">
        <v>44</v>
      </c>
      <c r="AE178" s="11" t="s">
        <v>45</v>
      </c>
      <c r="AF178" s="11" t="s">
        <v>46</v>
      </c>
      <c r="AG178" s="11" t="s">
        <v>47</v>
      </c>
      <c r="AH178" s="11" t="s">
        <v>48</v>
      </c>
      <c r="AI178" s="11" t="s">
        <v>49</v>
      </c>
      <c r="AJ178" s="11" t="s">
        <v>50</v>
      </c>
      <c r="AK178" s="13" t="s">
        <v>51</v>
      </c>
    </row>
    <row r="179" spans="1:50" x14ac:dyDescent="0.25">
      <c r="A179" t="s">
        <v>230</v>
      </c>
      <c r="B179" s="15">
        <v>2609</v>
      </c>
      <c r="C179" s="15">
        <v>727</v>
      </c>
      <c r="D179" s="16">
        <v>0.59919999999999995</v>
      </c>
      <c r="E179" s="16">
        <v>0.5464</v>
      </c>
      <c r="F179" s="15">
        <v>0.48</v>
      </c>
      <c r="G179" s="15">
        <v>23.82</v>
      </c>
      <c r="H179" s="15">
        <v>146</v>
      </c>
      <c r="I179" s="17">
        <v>162</v>
      </c>
      <c r="J179" s="15">
        <v>214</v>
      </c>
      <c r="K179" s="15">
        <v>78</v>
      </c>
      <c r="L179" s="16">
        <v>0.40560000000000002</v>
      </c>
      <c r="M179" s="18">
        <v>0.67500000000000004</v>
      </c>
      <c r="N179" s="16">
        <v>4.1599999999999998E-2</v>
      </c>
      <c r="O179" s="16">
        <v>0.1104</v>
      </c>
      <c r="P179" s="15">
        <v>33</v>
      </c>
      <c r="Q179" s="15"/>
      <c r="R179" s="15"/>
      <c r="S179" s="15"/>
      <c r="T179" s="15">
        <v>6</v>
      </c>
      <c r="U179" s="15">
        <v>0.2</v>
      </c>
      <c r="V179" s="15">
        <v>1.05</v>
      </c>
      <c r="W179" s="15"/>
      <c r="X179" s="19">
        <f>IF(B179=0,0,100*(C179+2*H179+3*I179)/B179)</f>
        <v>57.684936757378303</v>
      </c>
      <c r="Y179" s="19">
        <f>IF(C179=0,0,(J179+K179)/C179)</f>
        <v>0.40165061898211829</v>
      </c>
      <c r="Z179" s="19"/>
      <c r="AA179" s="19">
        <f>MAX(0,MIN(10,5+50*(D179-0.55)+25*(E179-F179)))</f>
        <v>9.1199999999999957</v>
      </c>
      <c r="AB179" s="19">
        <f>MAX(0,MIN(10,0.2*G179+5*Y179))</f>
        <v>6.7722530949105915</v>
      </c>
      <c r="AC179" s="19">
        <f t="shared" ref="AC179:AC191" si="151">MAX(0,MIN(10,X179/4))</f>
        <v>10</v>
      </c>
      <c r="AD179" s="19">
        <f>MAX(0,MIN(10,2+0.15*G179+4*Y179-0.03*((L179+M179)/2)))</f>
        <v>7.1633934759284736</v>
      </c>
      <c r="AE179" s="19">
        <f>MAX(0,MIN(10,0.15*N179+0.08*O179))</f>
        <v>1.5071999999999999E-2</v>
      </c>
      <c r="AF179" s="19"/>
      <c r="AG179" s="19"/>
      <c r="AH179" s="19">
        <f>MAX(0,MIN(10,P179/3.2-2*U179))</f>
        <v>9.9124999999999996</v>
      </c>
      <c r="AI179" s="19">
        <f>10*(0.22*AA179+0.2*AB179+0.18*AC179+0.12*AD179+0.1*AE179+0.13*T179+0.05*AH179)</f>
        <v>72.975900360935356</v>
      </c>
      <c r="AJ179" s="19">
        <f>AI179*V179</f>
        <v>76.624695378982125</v>
      </c>
      <c r="AK179" s="20">
        <f>AJ179*(P179/200)</f>
        <v>12.643074737532052</v>
      </c>
    </row>
    <row r="180" spans="1:50" x14ac:dyDescent="0.25">
      <c r="A180" t="s">
        <v>231</v>
      </c>
      <c r="B180" s="16">
        <v>0.56799999999999995</v>
      </c>
      <c r="C180" s="16">
        <v>0.53100000000000003</v>
      </c>
      <c r="D180" s="15">
        <v>0.36399999999999999</v>
      </c>
      <c r="E180" s="15">
        <v>0.38800000000000001</v>
      </c>
      <c r="F180" s="16">
        <v>8.4000000000000005E-2</v>
      </c>
      <c r="G180" s="16">
        <v>0.215</v>
      </c>
      <c r="H180" s="16">
        <v>0.106</v>
      </c>
      <c r="I180" s="23">
        <v>2.5000000000000001E-2</v>
      </c>
      <c r="J180" s="16">
        <v>3.4000000000000002E-2</v>
      </c>
      <c r="K180" s="18">
        <v>0.17299999999999999</v>
      </c>
      <c r="L180" s="16">
        <v>0.27900000000000003</v>
      </c>
      <c r="M180" s="15">
        <v>108</v>
      </c>
      <c r="N180" s="15">
        <v>89.8</v>
      </c>
      <c r="O180" s="15">
        <v>0.218</v>
      </c>
      <c r="P180" s="15">
        <v>7.5</v>
      </c>
      <c r="Q180" s="15">
        <v>3.5</v>
      </c>
      <c r="R180" s="15">
        <v>11</v>
      </c>
      <c r="S180" s="15">
        <v>12</v>
      </c>
      <c r="T180" s="15">
        <v>6.5</v>
      </c>
      <c r="U180" s="15">
        <v>0.2</v>
      </c>
      <c r="V180" s="15">
        <v>0.98</v>
      </c>
      <c r="W180" s="15">
        <v>0.96</v>
      </c>
      <c r="X180" s="19">
        <f>MAX(0,MIN(100,0.45*M180+0.6*H180+0.35*L180-0.2*K180-15))</f>
        <v>33.726650000000006</v>
      </c>
      <c r="Y180" s="19">
        <f>MAX(0,MIN(1,0.012*L180+0.025*P180+0.3*E180+0.2*D180-0.18))</f>
        <v>0.20004799999999995</v>
      </c>
      <c r="Z180" s="19">
        <f>MAX(0,MIN(10,1+0.45*R180+30*O180+0.04*(M180-N180)))</f>
        <v>10</v>
      </c>
      <c r="AA180" s="19">
        <f>MAX(0,MIN(10,3+20*(B180-0.52)+15*(C180-0.5)+0.06*(M180-100)))</f>
        <v>4.9049999999999994</v>
      </c>
      <c r="AB180" s="19">
        <f>MAX(0,MIN(10,0.16*L180+0.55*P180+4*E180))</f>
        <v>5.7216400000000007</v>
      </c>
      <c r="AC180" s="19">
        <f>MAX(0,MIN(10,2+0.22*H180-0.12*K180+0.15*P180))</f>
        <v>3.1275599999999999</v>
      </c>
      <c r="AD180" s="19">
        <f>MAX(0,MIN(10,2+0.28*P180+0.1*L180+2*D180+1.5*E180))</f>
        <v>5.4378999999999991</v>
      </c>
      <c r="AE180" s="19">
        <f>MAX(0,MIN(10,0.18*F180+0.08*G180))</f>
        <v>3.2320000000000002E-2</v>
      </c>
      <c r="AF180" s="19">
        <f>MAX(0,MIN(10,4+0.3*Q180+0.6*I180+0.5*J180+0.03*(105-N180)))</f>
        <v>5.5380000000000003</v>
      </c>
      <c r="AG180" s="19">
        <f>0.6*AF180+0.4*T180</f>
        <v>5.9228000000000005</v>
      </c>
      <c r="AH180" s="19">
        <f>MAX(0,MIN(10,S180/3.2-2*U180))</f>
        <v>3.35</v>
      </c>
      <c r="AI180" s="19">
        <f t="shared" ref="AI180:AI181" si="152">10*(0.18*Z180+0.17*AA180+0.15*AB180+0.14*AC180+0.1*AD180+0.08*AE180+0.1*AG180+0.08*AH180)</f>
        <v>53.366099999999996</v>
      </c>
      <c r="AJ180" s="19">
        <f>AI180*V180*W180</f>
        <v>50.206826879999987</v>
      </c>
      <c r="AK180" s="20">
        <f>AJ180*(P180/200)</f>
        <v>1.8827560079999994</v>
      </c>
    </row>
    <row r="181" spans="1:50" x14ac:dyDescent="0.25">
      <c r="A181" t="s">
        <v>232</v>
      </c>
      <c r="B181" s="16">
        <v>0.55400000000000005</v>
      </c>
      <c r="C181" s="16">
        <v>0.53400000000000003</v>
      </c>
      <c r="D181" s="15">
        <v>0.126</v>
      </c>
      <c r="E181" s="15">
        <v>0.32</v>
      </c>
      <c r="F181" s="16">
        <v>0.1</v>
      </c>
      <c r="G181" s="16">
        <v>0.14899999999999999</v>
      </c>
      <c r="H181" s="16">
        <v>7.2999999999999995E-2</v>
      </c>
      <c r="I181" s="23">
        <v>0.01</v>
      </c>
      <c r="J181" s="16">
        <v>2.1999999999999999E-2</v>
      </c>
      <c r="K181" s="18">
        <v>0.19600000000000001</v>
      </c>
      <c r="L181" s="16">
        <v>0.185</v>
      </c>
      <c r="M181" s="15">
        <v>103.8</v>
      </c>
      <c r="N181" s="15">
        <v>90.5</v>
      </c>
      <c r="O181" s="15">
        <v>0.14899999999999999</v>
      </c>
      <c r="P181" s="15">
        <v>3</v>
      </c>
      <c r="Q181" s="15">
        <v>3.5</v>
      </c>
      <c r="R181" s="15">
        <v>6.6</v>
      </c>
      <c r="S181" s="15">
        <v>7</v>
      </c>
      <c r="T181" s="15">
        <v>5.5</v>
      </c>
      <c r="U181" s="15">
        <v>0.2</v>
      </c>
      <c r="V181" s="15">
        <v>0.94</v>
      </c>
      <c r="W181" s="15">
        <v>0.92</v>
      </c>
      <c r="X181" s="19">
        <f>MAX(0,MIN(100,0.45*M181+0.6*H181+0.35*L181-0.2*K181-15))</f>
        <v>31.779349999999994</v>
      </c>
      <c r="Y181" s="19">
        <f>MAX(0,MIN(1,0.012*L181+0.025*P181+0.3*E181+0.2*D181-0.18))</f>
        <v>1.842000000000002E-2</v>
      </c>
      <c r="Z181" s="19">
        <f>MAX(0,MIN(10,1+0.45*R181+30*O181+0.04*(M181-N181)))</f>
        <v>8.9719999999999995</v>
      </c>
      <c r="AA181" s="19">
        <f>MAX(0,MIN(10,3+20*(B181-0.52)+15*(C181-0.5)+0.06*(M181-100)))</f>
        <v>4.418000000000001</v>
      </c>
      <c r="AB181" s="19">
        <f>MAX(0,MIN(10,0.16*L181+0.55*P181+4*E181))</f>
        <v>2.9596</v>
      </c>
      <c r="AC181" s="19">
        <f>MAX(0,MIN(10,2+0.22*H181-0.12*K181+0.15*P181))</f>
        <v>2.4425400000000002</v>
      </c>
      <c r="AD181" s="19">
        <f>MAX(0,MIN(10,2+0.28*P181+0.1*L181+2*D181+1.5*E181))</f>
        <v>3.5905</v>
      </c>
      <c r="AE181" s="19">
        <f>MAX(0,MIN(10,0.18*F181+0.08*G181))</f>
        <v>2.9919999999999999E-2</v>
      </c>
      <c r="AF181" s="19">
        <f>MAX(0,MIN(10,4+0.3*Q181+0.6*I181+0.5*J181+0.03*(105-N181)))</f>
        <v>5.5019999999999998</v>
      </c>
      <c r="AG181" s="19">
        <f>0.6*AF181+0.4*T181</f>
        <v>5.5011999999999999</v>
      </c>
      <c r="AH181" s="19">
        <f>MAX(0,MIN(10,S181/3.2-2*U181))</f>
        <v>1.7875000000000001</v>
      </c>
      <c r="AI181" s="19">
        <f t="shared" si="152"/>
        <v>42.064791999999997</v>
      </c>
      <c r="AJ181" s="19">
        <f>AI181*V181*W181</f>
        <v>36.377632121599994</v>
      </c>
      <c r="AK181" s="20">
        <f>AJ181*(P181/200)</f>
        <v>0.54566448182399985</v>
      </c>
    </row>
    <row r="182" spans="1:50" x14ac:dyDescent="0.25">
      <c r="A182" t="s">
        <v>233</v>
      </c>
      <c r="B182" s="15">
        <v>1826</v>
      </c>
      <c r="C182" s="15">
        <v>342</v>
      </c>
      <c r="D182" s="16">
        <v>0.53939999999999999</v>
      </c>
      <c r="E182" s="16">
        <v>0.51880000000000004</v>
      </c>
      <c r="F182" s="15">
        <v>0.47</v>
      </c>
      <c r="G182" s="15">
        <v>17.43</v>
      </c>
      <c r="H182" s="15">
        <v>210</v>
      </c>
      <c r="I182" s="17">
        <v>24</v>
      </c>
      <c r="J182" s="15">
        <v>42</v>
      </c>
      <c r="K182" s="15">
        <v>0</v>
      </c>
      <c r="L182" s="16">
        <v>0.83330000000000004</v>
      </c>
      <c r="M182" s="18">
        <v>1</v>
      </c>
      <c r="N182" s="16">
        <v>8.0799999999999997E-2</v>
      </c>
      <c r="O182" s="16">
        <v>0.1676</v>
      </c>
      <c r="P182" s="15">
        <v>24</v>
      </c>
      <c r="Q182" s="15"/>
      <c r="R182" s="15"/>
      <c r="S182" s="15"/>
      <c r="T182" s="15">
        <v>8</v>
      </c>
      <c r="U182" s="15">
        <v>0.2</v>
      </c>
      <c r="V182" s="15">
        <v>1</v>
      </c>
      <c r="W182" s="15"/>
      <c r="X182" s="19">
        <f>IF(B182=0,0,100*(C182+2*H182+3*I182)/B182)</f>
        <v>45.673603504928806</v>
      </c>
      <c r="Y182" s="19">
        <f>IF(C182=0,0,(J182+K182)/C182)</f>
        <v>0.12280701754385964</v>
      </c>
      <c r="Z182" s="19"/>
      <c r="AA182" s="19">
        <f>MAX(0,MIN(10,5+50*(D182-0.55)+25*(E182-F182)))</f>
        <v>5.6899999999999986</v>
      </c>
      <c r="AB182" s="19">
        <f>MAX(0,MIN(10,0.2*G182+5*Y182))</f>
        <v>4.1000350877192986</v>
      </c>
      <c r="AC182" s="19">
        <f t="shared" si="151"/>
        <v>10</v>
      </c>
      <c r="AD182" s="19">
        <f>MAX(0,MIN(10,2+0.15*G182+4*Y182-0.03*((L182+M182)/2)))</f>
        <v>5.0782285701754377</v>
      </c>
      <c r="AE182" s="19">
        <f>MAX(0,MIN(10,0.15*N182+0.08*O182))</f>
        <v>2.5527999999999999E-2</v>
      </c>
      <c r="AF182" s="19"/>
      <c r="AG182" s="19"/>
      <c r="AH182" s="19">
        <f>MAX(0,MIN(10,P182/3.2-2*U182))</f>
        <v>7.1</v>
      </c>
      <c r="AI182" s="19">
        <f>10*(0.22*AA182+0.2*AB182+0.18*AC182+0.12*AD182+0.1*AE182+0.13*T182+0.05*AH182)</f>
        <v>58.787472459649109</v>
      </c>
      <c r="AJ182" s="19">
        <f>AI182*V182</f>
        <v>58.787472459649109</v>
      </c>
      <c r="AK182" s="20">
        <f>AJ182*(P182/200)</f>
        <v>7.0544966951578925</v>
      </c>
    </row>
    <row r="183" spans="1:50" x14ac:dyDescent="0.25">
      <c r="A183" t="s">
        <v>234</v>
      </c>
      <c r="B183" s="15">
        <v>1052</v>
      </c>
      <c r="C183" s="15">
        <v>112</v>
      </c>
      <c r="D183" s="16">
        <v>0.47860000000000003</v>
      </c>
      <c r="E183" s="16">
        <v>0.45190000000000002</v>
      </c>
      <c r="F183" s="15">
        <v>0.52</v>
      </c>
      <c r="G183" s="15">
        <v>12.99</v>
      </c>
      <c r="H183" s="15">
        <v>38</v>
      </c>
      <c r="I183" s="17">
        <v>48</v>
      </c>
      <c r="J183" s="15">
        <v>8</v>
      </c>
      <c r="K183" s="15">
        <v>0</v>
      </c>
      <c r="L183" s="16">
        <v>0.82609999999999995</v>
      </c>
      <c r="M183" s="18">
        <v>1</v>
      </c>
      <c r="N183" s="16">
        <v>4.58E-2</v>
      </c>
      <c r="O183" s="16">
        <v>0.13539999999999999</v>
      </c>
      <c r="P183" s="15">
        <v>14</v>
      </c>
      <c r="Q183" s="15"/>
      <c r="R183" s="15"/>
      <c r="S183" s="15"/>
      <c r="T183" s="15">
        <v>6</v>
      </c>
      <c r="U183" s="15">
        <v>0.2</v>
      </c>
      <c r="V183" s="15">
        <v>1</v>
      </c>
      <c r="W183" s="15"/>
      <c r="X183" s="19">
        <f>IF(B183=0,0,100*(C183+2*H183+3*I183)/B183)</f>
        <v>31.558935361216729</v>
      </c>
      <c r="Y183" s="19">
        <f>IF(C183=0,0,(J183+K183)/C183)</f>
        <v>7.1428571428571425E-2</v>
      </c>
      <c r="Z183" s="19"/>
      <c r="AA183" s="19">
        <f>MAX(0,MIN(10,5+50*(D183-0.55)+25*(E183-F183)))</f>
        <v>0</v>
      </c>
      <c r="AB183" s="19">
        <f>MAX(0,MIN(10,0.2*G183+5*Y183))</f>
        <v>2.9551428571428575</v>
      </c>
      <c r="AC183" s="19">
        <f t="shared" si="151"/>
        <v>7.8897338403041823</v>
      </c>
      <c r="AD183" s="19">
        <f>MAX(0,MIN(10,2+0.15*G183+4*Y183-0.03*((L183+M183)/2)))</f>
        <v>4.2068227857142855</v>
      </c>
      <c r="AE183" s="19">
        <f>MAX(0,MIN(10,0.15*N183+0.08*O183))</f>
        <v>1.7701999999999999E-2</v>
      </c>
      <c r="AF183" s="19"/>
      <c r="AG183" s="19"/>
      <c r="AH183" s="19">
        <f>MAX(0,MIN(10,P183/3.2-2*U183))</f>
        <v>3.9750000000000001</v>
      </c>
      <c r="AI183" s="19">
        <f>10*(0.22*AA183+0.2*AB183+0.18*AC183+0.12*AD183+0.1*AE183+0.13*T183+0.05*AH183)</f>
        <v>34.965195969690384</v>
      </c>
      <c r="AJ183" s="19">
        <f>AI183*V183</f>
        <v>34.965195969690384</v>
      </c>
      <c r="AK183" s="20">
        <f>AJ183*(P183/200)</f>
        <v>2.4475637178783272</v>
      </c>
    </row>
    <row r="184" spans="1:50" x14ac:dyDescent="0.25">
      <c r="A184" t="s">
        <v>235</v>
      </c>
      <c r="B184" s="15">
        <v>1709</v>
      </c>
      <c r="C184" s="15">
        <v>577</v>
      </c>
      <c r="D184" s="16">
        <v>0.5323</v>
      </c>
      <c r="E184" s="16">
        <v>0.49590000000000001</v>
      </c>
      <c r="F184" s="15">
        <v>0.49</v>
      </c>
      <c r="G184" s="15">
        <v>29.21</v>
      </c>
      <c r="H184" s="15">
        <v>244</v>
      </c>
      <c r="I184" s="17">
        <v>24</v>
      </c>
      <c r="J184" s="15">
        <v>214</v>
      </c>
      <c r="K184" s="15">
        <v>3</v>
      </c>
      <c r="L184" s="16">
        <v>0.53280000000000005</v>
      </c>
      <c r="M184" s="18">
        <v>0.88890000000000002</v>
      </c>
      <c r="N184" s="16">
        <v>2.2599999999999999E-2</v>
      </c>
      <c r="O184" s="16">
        <v>0.1145</v>
      </c>
      <c r="P184" s="15">
        <v>22</v>
      </c>
      <c r="Q184" s="15"/>
      <c r="R184" s="15"/>
      <c r="S184" s="15"/>
      <c r="T184" s="15">
        <v>5.5</v>
      </c>
      <c r="U184" s="15">
        <v>0.2</v>
      </c>
      <c r="V184" s="15">
        <v>1</v>
      </c>
      <c r="W184" s="15"/>
      <c r="X184" s="19">
        <f>IF(B184=0,0,100*(C184+2*H184+3*I184)/B184)</f>
        <v>66.530134581626683</v>
      </c>
      <c r="Y184" s="19">
        <f>IF(C184=0,0,(J184+K184)/C184)</f>
        <v>0.37608318890814557</v>
      </c>
      <c r="Z184" s="19"/>
      <c r="AA184" s="19">
        <f>MAX(0,MIN(10,5+50*(D184-0.55)+25*(E184-F184)))</f>
        <v>4.2624999999999975</v>
      </c>
      <c r="AB184" s="19">
        <f>MAX(0,MIN(10,0.2*G184+5*Y184))</f>
        <v>7.7224159445407281</v>
      </c>
      <c r="AC184" s="19">
        <f t="shared" si="151"/>
        <v>10</v>
      </c>
      <c r="AD184" s="19">
        <f>MAX(0,MIN(10,2+0.15*G184+4*Y184-0.03*((L184+M184)/2)))</f>
        <v>7.8645072556325823</v>
      </c>
      <c r="AE184" s="19">
        <f>MAX(0,MIN(10,0.15*N184+0.08*O184))</f>
        <v>1.2549999999999999E-2</v>
      </c>
      <c r="AF184" s="19"/>
      <c r="AG184" s="19"/>
      <c r="AH184" s="19">
        <f>MAX(0,MIN(10,P184/3.2-2*U184))</f>
        <v>6.4749999999999996</v>
      </c>
      <c r="AI184" s="19">
        <f>10*(0.22*AA184+0.2*AB184+0.18*AC184+0.12*AD184+0.1*AE184+0.13*T184+0.05*AH184)</f>
        <v>62.659790595840548</v>
      </c>
      <c r="AJ184" s="19">
        <f>AI184*V184</f>
        <v>62.659790595840548</v>
      </c>
      <c r="AK184" s="20">
        <f>AJ184*(P184/200)</f>
        <v>6.8925769655424602</v>
      </c>
    </row>
    <row r="185" spans="1:50" x14ac:dyDescent="0.25">
      <c r="A185" t="s">
        <v>236</v>
      </c>
      <c r="B185" s="15">
        <v>1506</v>
      </c>
      <c r="C185" s="15">
        <v>291</v>
      </c>
      <c r="D185" s="16">
        <v>0.49159999999999998</v>
      </c>
      <c r="E185" s="16">
        <v>0.45800000000000002</v>
      </c>
      <c r="F185" s="15">
        <v>0.45</v>
      </c>
      <c r="G185" s="15">
        <v>19.8</v>
      </c>
      <c r="H185" s="15">
        <v>34</v>
      </c>
      <c r="I185" s="17">
        <v>81</v>
      </c>
      <c r="J185" s="15">
        <v>106</v>
      </c>
      <c r="K185" s="15">
        <v>30</v>
      </c>
      <c r="L185" s="16">
        <v>0.2429</v>
      </c>
      <c r="M185" s="18">
        <v>0.71970000000000001</v>
      </c>
      <c r="N185" s="16">
        <v>1.0999999999999999E-2</v>
      </c>
      <c r="O185" s="16">
        <v>5.6500000000000002E-2</v>
      </c>
      <c r="P185" s="15">
        <v>18</v>
      </c>
      <c r="Q185" s="15"/>
      <c r="R185" s="15"/>
      <c r="S185" s="15"/>
      <c r="T185" s="15">
        <v>3.5</v>
      </c>
      <c r="U185" s="15">
        <v>0.2</v>
      </c>
      <c r="V185" s="15">
        <v>1</v>
      </c>
      <c r="W185" s="15"/>
      <c r="X185" s="19">
        <f>IF(B185=0,0,100*(C185+2*H185+3*I185)/B185)</f>
        <v>39.973439575033197</v>
      </c>
      <c r="Y185" s="19">
        <f>IF(C185=0,0,(J185+K185)/C185)</f>
        <v>0.46735395189003437</v>
      </c>
      <c r="Z185" s="19"/>
      <c r="AA185" s="19">
        <f>MAX(0,MIN(10,5+50*(D185-0.55)+25*(E185-F185)))</f>
        <v>2.2799999999999971</v>
      </c>
      <c r="AB185" s="19">
        <f>MAX(0,MIN(10,0.2*G185+5*Y185))</f>
        <v>6.2967697594501724</v>
      </c>
      <c r="AC185" s="19">
        <f t="shared" si="151"/>
        <v>9.9933598937582993</v>
      </c>
      <c r="AD185" s="19">
        <f>MAX(0,MIN(10,2+0.15*G185+4*Y185-0.03*((L185+M185)/2)))</f>
        <v>6.8249768075601382</v>
      </c>
      <c r="AE185" s="19">
        <f>MAX(0,MIN(10,0.15*N185+0.08*O185))</f>
        <v>6.1700000000000001E-3</v>
      </c>
      <c r="AF185" s="19"/>
      <c r="AG185" s="19"/>
      <c r="AH185" s="19">
        <f>MAX(0,MIN(10,P185/3.2-2*U185))</f>
        <v>5.2249999999999996</v>
      </c>
      <c r="AI185" s="19">
        <f>10*(0.22*AA185+0.2*AB185+0.18*AC185+0.12*AD185+0.1*AE185+0.13*T185+0.05*AH185)</f>
        <v>50.95622949673745</v>
      </c>
      <c r="AJ185" s="19">
        <f>AI185*V185</f>
        <v>50.95622949673745</v>
      </c>
      <c r="AK185" s="20">
        <f>AJ185*(P185/200)</f>
        <v>4.5860606547063707</v>
      </c>
    </row>
    <row r="186" spans="1:50" x14ac:dyDescent="0.25">
      <c r="A186" t="s">
        <v>237</v>
      </c>
      <c r="B186" s="15">
        <v>2679</v>
      </c>
      <c r="C186" s="15">
        <v>493</v>
      </c>
      <c r="D186" s="16">
        <v>0.56889999999999996</v>
      </c>
      <c r="E186" s="16">
        <v>0.51939999999999997</v>
      </c>
      <c r="F186" s="15">
        <v>0.45</v>
      </c>
      <c r="G186" s="15">
        <v>17.95</v>
      </c>
      <c r="H186" s="15">
        <v>60</v>
      </c>
      <c r="I186" s="17">
        <v>174</v>
      </c>
      <c r="J186" s="15">
        <v>152</v>
      </c>
      <c r="K186" s="15">
        <v>15</v>
      </c>
      <c r="L186" s="16">
        <v>0.28299999999999997</v>
      </c>
      <c r="M186" s="18">
        <v>0.92059999999999997</v>
      </c>
      <c r="N186" s="16">
        <v>0.02</v>
      </c>
      <c r="O186" s="16">
        <v>0.10639999999999999</v>
      </c>
      <c r="P186" s="15">
        <v>33</v>
      </c>
      <c r="Q186" s="15"/>
      <c r="R186" s="15"/>
      <c r="S186" s="15"/>
      <c r="T186" s="15">
        <v>5</v>
      </c>
      <c r="U186" s="15">
        <v>0.2</v>
      </c>
      <c r="V186" s="15">
        <v>1.05</v>
      </c>
      <c r="W186" s="15"/>
      <c r="X186" s="19">
        <f>IF(B186=0,0,100*(C186+2*H186+3*I186)/B186)</f>
        <v>42.366554684583797</v>
      </c>
      <c r="Y186" s="19">
        <f>IF(C186=0,0,(J186+K186)/C186)</f>
        <v>0.33874239350912777</v>
      </c>
      <c r="Z186" s="19"/>
      <c r="AA186" s="19">
        <f>MAX(0,MIN(10,5+50*(D186-0.55)+25*(E186-F186)))</f>
        <v>7.6799999999999944</v>
      </c>
      <c r="AB186" s="19">
        <f>MAX(0,MIN(10,0.2*G186+5*Y186))</f>
        <v>5.2837119675456385</v>
      </c>
      <c r="AC186" s="19">
        <f t="shared" si="151"/>
        <v>10</v>
      </c>
      <c r="AD186" s="19">
        <f>MAX(0,MIN(10,2+0.15*G186+4*Y186-0.03*((L186+M186)/2)))</f>
        <v>6.029415574036511</v>
      </c>
      <c r="AE186" s="19">
        <f>MAX(0,MIN(10,0.15*N186+0.08*O186))</f>
        <v>1.1512000000000001E-2</v>
      </c>
      <c r="AF186" s="19"/>
      <c r="AG186" s="19"/>
      <c r="AH186" s="19">
        <f>MAX(0,MIN(10,P186/3.2-2*U186))</f>
        <v>9.9124999999999996</v>
      </c>
      <c r="AI186" s="19">
        <f>10*(0.22*AA186+0.2*AB186+0.18*AC186+0.12*AD186+0.1*AE186+0.13*T186+0.05*AH186)</f>
        <v>64.166484623935091</v>
      </c>
      <c r="AJ186" s="19">
        <f>AI186*V186</f>
        <v>67.374808855131846</v>
      </c>
      <c r="AK186" s="20">
        <f>AJ186*(P186/200)</f>
        <v>11.116843461096755</v>
      </c>
    </row>
    <row r="187" spans="1:50" x14ac:dyDescent="0.25">
      <c r="A187" t="s">
        <v>238</v>
      </c>
      <c r="B187" s="15">
        <v>448</v>
      </c>
      <c r="C187" s="15">
        <v>30</v>
      </c>
      <c r="D187" s="16">
        <v>0.41670000000000001</v>
      </c>
      <c r="E187" s="16">
        <v>0.40629999999999999</v>
      </c>
      <c r="F187" s="15">
        <v>0.53</v>
      </c>
      <c r="G187" s="15">
        <v>8.6999999999999993</v>
      </c>
      <c r="H187" s="15">
        <v>22</v>
      </c>
      <c r="I187" s="17">
        <v>0</v>
      </c>
      <c r="J187" s="15">
        <v>4</v>
      </c>
      <c r="K187" s="15">
        <v>0</v>
      </c>
      <c r="L187" s="16">
        <v>0.84619999999999995</v>
      </c>
      <c r="M187" s="18">
        <v>0</v>
      </c>
      <c r="N187" s="16">
        <v>8.14E-2</v>
      </c>
      <c r="O187" s="16">
        <v>0.1623</v>
      </c>
      <c r="P187" s="15">
        <v>9</v>
      </c>
      <c r="Q187" s="15"/>
      <c r="R187" s="15"/>
      <c r="S187" s="15"/>
      <c r="T187" s="15">
        <v>6.5</v>
      </c>
      <c r="U187" s="15">
        <v>0.2</v>
      </c>
      <c r="V187" s="15">
        <v>0.98</v>
      </c>
      <c r="W187" s="15"/>
      <c r="X187" s="19">
        <f>IF(B187=0,0,100*(C187+2*H187+3*I187)/B187)</f>
        <v>16.517857142857142</v>
      </c>
      <c r="Y187" s="19">
        <f>IF(C187=0,0,(J187+K187)/C187)</f>
        <v>0.13333333333333333</v>
      </c>
      <c r="Z187" s="19"/>
      <c r="AA187" s="19">
        <f>MAX(0,MIN(10,5+50*(D187-0.55)+25*(E187-F187)))</f>
        <v>0</v>
      </c>
      <c r="AB187" s="19">
        <f>MAX(0,MIN(10,0.2*G187+5*Y187))</f>
        <v>2.4066666666666667</v>
      </c>
      <c r="AC187" s="19">
        <f t="shared" si="151"/>
        <v>4.1294642857142856</v>
      </c>
      <c r="AD187" s="19">
        <f>MAX(0,MIN(10,2+0.15*G187+4*Y187-0.03*((L187+M187)/2)))</f>
        <v>3.8256403333333329</v>
      </c>
      <c r="AE187" s="19">
        <f>MAX(0,MIN(10,0.15*N187+0.08*O187))</f>
        <v>2.5194000000000001E-2</v>
      </c>
      <c r="AF187" s="19"/>
      <c r="AG187" s="19"/>
      <c r="AH187" s="19">
        <f>MAX(0,MIN(10,P187/3.2-2*U187))</f>
        <v>2.4125000000000001</v>
      </c>
      <c r="AI187" s="19">
        <f>10*(0.22*AA187+0.2*AB187+0.18*AC187+0.12*AD187+0.1*AE187+0.13*T187+0.05*AH187)</f>
        <v>26.518581447619045</v>
      </c>
      <c r="AJ187" s="19">
        <f>AI187*V187</f>
        <v>25.988209818666665</v>
      </c>
      <c r="AK187" s="20">
        <f>AJ187*(P187/200)</f>
        <v>1.1694694418399998</v>
      </c>
    </row>
    <row r="188" spans="1:50" x14ac:dyDescent="0.25">
      <c r="A188" t="s">
        <v>239</v>
      </c>
      <c r="B188" s="15">
        <v>2468</v>
      </c>
      <c r="C188" s="15">
        <v>937</v>
      </c>
      <c r="D188" s="16">
        <v>0.59860000000000002</v>
      </c>
      <c r="E188" s="16">
        <v>0.52439999999999998</v>
      </c>
      <c r="F188" s="15">
        <v>0.45</v>
      </c>
      <c r="G188" s="15">
        <v>31.09</v>
      </c>
      <c r="H188" s="15">
        <v>428</v>
      </c>
      <c r="I188" s="17">
        <v>75</v>
      </c>
      <c r="J188" s="15">
        <v>186</v>
      </c>
      <c r="K188" s="15">
        <v>0</v>
      </c>
      <c r="L188" s="16">
        <v>0.69710000000000005</v>
      </c>
      <c r="M188" s="18">
        <v>1</v>
      </c>
      <c r="N188" s="16">
        <v>7.7899999999999997E-2</v>
      </c>
      <c r="O188" s="16">
        <v>0.24790000000000001</v>
      </c>
      <c r="P188" s="15">
        <v>34</v>
      </c>
      <c r="Q188" s="15"/>
      <c r="R188" s="15"/>
      <c r="S188" s="15"/>
      <c r="T188" s="15">
        <v>9.5</v>
      </c>
      <c r="U188" s="15">
        <v>0.2</v>
      </c>
      <c r="V188" s="15">
        <v>1.05</v>
      </c>
      <c r="W188" s="15"/>
      <c r="X188" s="19">
        <f>IF(B188=0,0,100*(C188+2*H188+3*I188)/B188)</f>
        <v>81.766612641815229</v>
      </c>
      <c r="Y188" s="19">
        <f>IF(C188=0,0,(J188+K188)/C188)</f>
        <v>0.19850586979722518</v>
      </c>
      <c r="Z188" s="19"/>
      <c r="AA188" s="19">
        <f>MAX(0,MIN(10,5+50*(D188-0.55)+25*(E188-F188)))</f>
        <v>9.2899999999999974</v>
      </c>
      <c r="AB188" s="19">
        <f>MAX(0,MIN(10,0.2*G188+5*Y188))</f>
        <v>7.2105293489861255</v>
      </c>
      <c r="AC188" s="19">
        <f t="shared" si="151"/>
        <v>10</v>
      </c>
      <c r="AD188" s="19">
        <f>MAX(0,MIN(10,2+0.15*G188+4*Y188-0.03*((L188+M188)/2)))</f>
        <v>7.4320669791889005</v>
      </c>
      <c r="AE188" s="19">
        <f>MAX(0,MIN(10,0.15*N188+0.08*O188))</f>
        <v>3.1517000000000003E-2</v>
      </c>
      <c r="AF188" s="19"/>
      <c r="AG188" s="19"/>
      <c r="AH188" s="19">
        <f>MAX(0,MIN(10,P188/3.2-2*U188))</f>
        <v>10</v>
      </c>
      <c r="AI188" s="19">
        <f>10*(0.22*AA188+0.2*AB188+0.18*AC188+0.12*AD188+0.1*AE188+0.13*T188+0.05*AH188)</f>
        <v>79.159056072998922</v>
      </c>
      <c r="AJ188" s="19">
        <f>AI188*V188</f>
        <v>83.117008876648867</v>
      </c>
      <c r="AK188" s="20">
        <f>AJ188*(P188/200)</f>
        <v>14.129891509030308</v>
      </c>
    </row>
    <row r="189" spans="1:50" x14ac:dyDescent="0.25">
      <c r="A189" t="s">
        <v>240</v>
      </c>
      <c r="B189" s="15">
        <v>2430</v>
      </c>
      <c r="C189" s="15">
        <v>491</v>
      </c>
      <c r="D189" s="16">
        <v>0.53369999999999995</v>
      </c>
      <c r="E189" s="16">
        <v>0.50590000000000002</v>
      </c>
      <c r="F189" s="15">
        <v>0.49</v>
      </c>
      <c r="G189" s="15">
        <v>18.62</v>
      </c>
      <c r="H189" s="15">
        <v>74</v>
      </c>
      <c r="I189" s="17">
        <v>285</v>
      </c>
      <c r="J189" s="15">
        <v>58</v>
      </c>
      <c r="K189" s="15">
        <v>15</v>
      </c>
      <c r="L189" s="16">
        <v>0.56059999999999999</v>
      </c>
      <c r="M189" s="18">
        <v>0.95</v>
      </c>
      <c r="N189" s="16">
        <v>4.2700000000000002E-2</v>
      </c>
      <c r="O189" s="16">
        <v>7.8899999999999998E-2</v>
      </c>
      <c r="P189" s="15">
        <v>29</v>
      </c>
      <c r="Q189" s="15"/>
      <c r="R189" s="15"/>
      <c r="S189" s="15"/>
      <c r="T189" s="15">
        <v>4.5</v>
      </c>
      <c r="U189" s="15">
        <v>0.2</v>
      </c>
      <c r="V189" s="15">
        <v>1</v>
      </c>
      <c r="W189" s="15"/>
      <c r="X189" s="19">
        <f>IF(B189=0,0,100*(C189+2*H189+3*I189)/B189)</f>
        <v>61.481481481481481</v>
      </c>
      <c r="Y189" s="19">
        <f>IF(C189=0,0,(J189+K189)/C189)</f>
        <v>0.14867617107942974</v>
      </c>
      <c r="Z189" s="19"/>
      <c r="AA189" s="19">
        <f>MAX(0,MIN(10,5+50*(D189-0.55)+25*(E189-F189)))</f>
        <v>4.582499999999996</v>
      </c>
      <c r="AB189" s="19">
        <f>MAX(0,MIN(10,0.2*G189+5*Y189))</f>
        <v>4.467380855397149</v>
      </c>
      <c r="AC189" s="19">
        <f t="shared" si="151"/>
        <v>10</v>
      </c>
      <c r="AD189" s="19">
        <f>MAX(0,MIN(10,2+0.15*G189+4*Y189-0.03*((L189+M189)/2)))</f>
        <v>5.3650456843177192</v>
      </c>
      <c r="AE189" s="19">
        <f>MAX(0,MIN(10,0.15*N189+0.08*O189))</f>
        <v>1.2716999999999999E-2</v>
      </c>
      <c r="AF189" s="19"/>
      <c r="AG189" s="19"/>
      <c r="AH189" s="19">
        <f>MAX(0,MIN(10,P189/3.2-2*U189))</f>
        <v>8.6624999999999996</v>
      </c>
      <c r="AI189" s="19">
        <f>10*(0.22*AA189+0.2*AB189+0.18*AC189+0.12*AD189+0.1*AE189+0.13*T189+0.05*AH189)</f>
        <v>53.648283531975558</v>
      </c>
      <c r="AJ189" s="19">
        <f>AI189*V189</f>
        <v>53.648283531975558</v>
      </c>
      <c r="AK189" s="20">
        <f>AJ189*(P189/200)</f>
        <v>7.7790011121364557</v>
      </c>
    </row>
    <row r="190" spans="1:50" x14ac:dyDescent="0.25">
      <c r="A190" t="s">
        <v>241</v>
      </c>
      <c r="B190" s="15">
        <v>28</v>
      </c>
      <c r="C190" s="15">
        <v>16</v>
      </c>
      <c r="D190" s="16">
        <v>0.72729999999999995</v>
      </c>
      <c r="E190" s="16">
        <v>0.6875</v>
      </c>
      <c r="F190" s="15">
        <v>0.48</v>
      </c>
      <c r="G190" s="15">
        <v>38.71</v>
      </c>
      <c r="H190" s="15">
        <v>8</v>
      </c>
      <c r="I190" s="17">
        <v>3</v>
      </c>
      <c r="J190" s="15">
        <v>0</v>
      </c>
      <c r="K190" s="15">
        <v>0</v>
      </c>
      <c r="L190" s="16">
        <v>1</v>
      </c>
      <c r="M190" s="18">
        <v>1</v>
      </c>
      <c r="N190" s="16">
        <v>0</v>
      </c>
      <c r="O190" s="16">
        <v>0.16669999999999999</v>
      </c>
      <c r="P190" s="15">
        <v>15</v>
      </c>
      <c r="Q190" s="15"/>
      <c r="R190" s="15"/>
      <c r="S190" s="15"/>
      <c r="T190" s="15">
        <v>6</v>
      </c>
      <c r="U190" s="15">
        <v>0.2</v>
      </c>
      <c r="V190" s="15">
        <v>0.99</v>
      </c>
      <c r="W190" s="15"/>
      <c r="X190" s="19">
        <f>IF(B190=0,0,100*(C190+2*H190+3*I190)/B190)</f>
        <v>146.42857142857142</v>
      </c>
      <c r="Y190" s="19">
        <f>IF(C190=0,0,(J190+K190)/C190)</f>
        <v>0</v>
      </c>
      <c r="Z190" s="19"/>
      <c r="AA190" s="19">
        <f>MAX(0,MIN(10,5+50*(D190-0.55)+25*(E190-F190)))</f>
        <v>10</v>
      </c>
      <c r="AB190" s="19">
        <f>MAX(0,MIN(10,0.2*G190+5*Y190))</f>
        <v>7.7420000000000009</v>
      </c>
      <c r="AC190" s="19">
        <f t="shared" si="151"/>
        <v>10</v>
      </c>
      <c r="AD190" s="19">
        <f>MAX(0,MIN(10,2+0.15*G190+4*Y190-0.03*((L190+M190)/2)))</f>
        <v>7.7764999999999995</v>
      </c>
      <c r="AE190" s="19">
        <f>MAX(0,MIN(10,0.15*N190+0.08*O190))</f>
        <v>1.3335999999999999E-2</v>
      </c>
      <c r="AF190" s="19"/>
      <c r="AG190" s="19"/>
      <c r="AH190" s="19">
        <f>MAX(0,MIN(10,P190/3.2-2*U190))</f>
        <v>4.2874999999999996</v>
      </c>
      <c r="AI190" s="19">
        <f>10*(0.22*AA190+0.2*AB190+0.18*AC190+0.12*AD190+0.1*AE190+0.13*T190+0.05*AH190)</f>
        <v>74.772886</v>
      </c>
      <c r="AJ190" s="19">
        <f>AI190*V190</f>
        <v>74.025157140000005</v>
      </c>
      <c r="AK190" s="20">
        <f>AJ190*(P190/200)</f>
        <v>5.5518867854999998</v>
      </c>
    </row>
    <row r="191" spans="1:50" ht="15.75" customHeight="1" x14ac:dyDescent="0.25">
      <c r="A191" t="s">
        <v>242</v>
      </c>
      <c r="B191" s="15">
        <v>817</v>
      </c>
      <c r="C191" s="15">
        <v>146</v>
      </c>
      <c r="D191" s="16">
        <v>0.45629999999999998</v>
      </c>
      <c r="E191" s="16">
        <v>0.43790000000000001</v>
      </c>
      <c r="F191" s="15">
        <v>0.5</v>
      </c>
      <c r="G191" s="15">
        <v>19.07</v>
      </c>
      <c r="H191" s="15">
        <v>32</v>
      </c>
      <c r="I191" s="17">
        <v>90</v>
      </c>
      <c r="J191" s="15">
        <v>12</v>
      </c>
      <c r="K191" s="15">
        <v>0</v>
      </c>
      <c r="L191" s="16">
        <v>0.72729999999999995</v>
      </c>
      <c r="M191" s="18">
        <v>1</v>
      </c>
      <c r="N191" s="16">
        <v>4.82E-2</v>
      </c>
      <c r="O191" s="16">
        <v>9.8799999999999999E-2</v>
      </c>
      <c r="P191" s="15">
        <v>14</v>
      </c>
      <c r="Q191" s="15"/>
      <c r="R191" s="15"/>
      <c r="S191" s="15"/>
      <c r="T191" s="15">
        <v>5</v>
      </c>
      <c r="U191" s="15">
        <v>0.2</v>
      </c>
      <c r="V191" s="15">
        <v>1</v>
      </c>
      <c r="W191" s="15"/>
      <c r="X191" s="19">
        <f>IF(B191=0,0,100*(C191+2*H191+3*I191)/B191)</f>
        <v>58.751529987760101</v>
      </c>
      <c r="Y191" s="19">
        <f>IF(C191=0,0,(J191+K191)/C191)</f>
        <v>8.2191780821917804E-2</v>
      </c>
      <c r="Z191" s="19"/>
      <c r="AA191" s="19">
        <f>MAX(0,MIN(10,5+50*(D191-0.55)+25*(E191-F191)))</f>
        <v>0</v>
      </c>
      <c r="AB191" s="19">
        <f>MAX(0,MIN(10,0.2*G191+5*Y191))</f>
        <v>4.224958904109589</v>
      </c>
      <c r="AC191" s="19">
        <f t="shared" si="151"/>
        <v>10</v>
      </c>
      <c r="AD191" s="19">
        <f>MAX(0,MIN(10,2+0.15*G191+4*Y191-0.03*((L191+M191)/2)))</f>
        <v>5.1633576232876708</v>
      </c>
      <c r="AE191" s="19">
        <f>MAX(0,MIN(10,0.15*N191+0.08*O191))</f>
        <v>1.5133999999999998E-2</v>
      </c>
      <c r="AF191" s="19"/>
      <c r="AG191" s="19"/>
      <c r="AH191" s="19">
        <f>MAX(0,MIN(10,P191/3.2-2*U191))</f>
        <v>3.9750000000000001</v>
      </c>
      <c r="AI191" s="19">
        <f>10*(0.22*AA191+0.2*AB191+0.18*AC191+0.12*AD191+0.1*AE191+0.13*T191+0.05*AH191)</f>
        <v>41.14858095616438</v>
      </c>
      <c r="AJ191" s="19">
        <f>AI191*V191</f>
        <v>41.14858095616438</v>
      </c>
      <c r="AK191" s="20">
        <f>AJ191*(P191/200)</f>
        <v>2.8804006669315068</v>
      </c>
    </row>
    <row r="192" spans="1:50" s="32" customFormat="1" x14ac:dyDescent="0.25">
      <c r="A192" s="31" t="s">
        <v>243</v>
      </c>
      <c r="I192" s="33"/>
      <c r="AK192" s="24">
        <f>SUM(AK179:AK191)</f>
        <v>78.679686237176142</v>
      </c>
      <c r="AL192" s="3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s="6" customFormat="1" x14ac:dyDescent="0.25">
      <c r="A193" s="5"/>
      <c r="B193" s="4" t="s">
        <v>3</v>
      </c>
      <c r="C193" s="4" t="s">
        <v>4</v>
      </c>
      <c r="D193" s="4" t="s">
        <v>5</v>
      </c>
      <c r="E193" s="4" t="s">
        <v>6</v>
      </c>
      <c r="F193" s="4" t="s">
        <v>7</v>
      </c>
      <c r="G193" s="4" t="s">
        <v>8</v>
      </c>
      <c r="H193" s="4" t="s">
        <v>9</v>
      </c>
      <c r="I193" s="9" t="s">
        <v>10</v>
      </c>
      <c r="J193" s="4" t="s">
        <v>11</v>
      </c>
      <c r="K193" s="4" t="s">
        <v>12</v>
      </c>
      <c r="L193" s="4" t="s">
        <v>13</v>
      </c>
      <c r="M193" s="4" t="s">
        <v>14</v>
      </c>
      <c r="N193" s="4" t="s">
        <v>15</v>
      </c>
      <c r="O193" s="4" t="s">
        <v>16</v>
      </c>
      <c r="P193" s="4" t="s">
        <v>17</v>
      </c>
      <c r="Q193" s="4" t="s">
        <v>18</v>
      </c>
      <c r="R193" s="4" t="s">
        <v>19</v>
      </c>
      <c r="S193" s="4" t="s">
        <v>20</v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3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25" t="s">
        <v>244</v>
      </c>
      <c r="B194" s="11" t="s">
        <v>22</v>
      </c>
      <c r="C194" s="11" t="s">
        <v>23</v>
      </c>
      <c r="D194" s="11" t="s">
        <v>3</v>
      </c>
      <c r="E194" s="11" t="s">
        <v>4</v>
      </c>
      <c r="F194" s="11" t="s">
        <v>24</v>
      </c>
      <c r="G194" s="11" t="s">
        <v>25</v>
      </c>
      <c r="H194" s="11" t="s">
        <v>26</v>
      </c>
      <c r="I194" s="12" t="s">
        <v>27</v>
      </c>
      <c r="J194" s="11" t="s">
        <v>28</v>
      </c>
      <c r="K194" s="11" t="s">
        <v>29</v>
      </c>
      <c r="L194" s="11" t="s">
        <v>30</v>
      </c>
      <c r="M194" s="11" t="s">
        <v>31</v>
      </c>
      <c r="N194" s="11" t="s">
        <v>32</v>
      </c>
      <c r="O194" s="11" t="s">
        <v>33</v>
      </c>
      <c r="P194" s="11" t="s">
        <v>20</v>
      </c>
      <c r="Q194" s="11"/>
      <c r="R194" s="11"/>
      <c r="S194" s="11"/>
      <c r="T194" s="11" t="s">
        <v>34</v>
      </c>
      <c r="U194" s="11" t="s">
        <v>35</v>
      </c>
      <c r="V194" s="11" t="s">
        <v>36</v>
      </c>
      <c r="W194" s="11" t="s">
        <v>37</v>
      </c>
      <c r="X194" s="11" t="s">
        <v>38</v>
      </c>
      <c r="Y194" s="11" t="s">
        <v>39</v>
      </c>
      <c r="Z194" s="11" t="s">
        <v>40</v>
      </c>
      <c r="AA194" s="11" t="s">
        <v>41</v>
      </c>
      <c r="AB194" s="11" t="s">
        <v>42</v>
      </c>
      <c r="AC194" s="11" t="s">
        <v>43</v>
      </c>
      <c r="AD194" s="11" t="s">
        <v>44</v>
      </c>
      <c r="AE194" s="11" t="s">
        <v>45</v>
      </c>
      <c r="AF194" s="11" t="s">
        <v>46</v>
      </c>
      <c r="AG194" s="11" t="s">
        <v>47</v>
      </c>
      <c r="AH194" s="11" t="s">
        <v>48</v>
      </c>
      <c r="AI194" s="11" t="s">
        <v>49</v>
      </c>
      <c r="AJ194" s="11" t="s">
        <v>50</v>
      </c>
      <c r="AK194" s="13" t="s">
        <v>51</v>
      </c>
    </row>
    <row r="195" spans="1:50" x14ac:dyDescent="0.25">
      <c r="A195" t="s">
        <v>245</v>
      </c>
      <c r="B195" s="15">
        <v>157</v>
      </c>
      <c r="C195" s="15">
        <v>20</v>
      </c>
      <c r="D195" s="16">
        <v>0.3448</v>
      </c>
      <c r="E195" s="16">
        <v>0.35709999999999997</v>
      </c>
      <c r="F195" s="15">
        <v>0.52</v>
      </c>
      <c r="G195" s="15">
        <v>20.69</v>
      </c>
      <c r="H195" s="15">
        <v>16</v>
      </c>
      <c r="I195" s="17">
        <v>0</v>
      </c>
      <c r="J195" s="15">
        <v>4</v>
      </c>
      <c r="K195" s="15">
        <v>0</v>
      </c>
      <c r="L195" s="18">
        <v>0.8</v>
      </c>
      <c r="M195" s="18">
        <v>0</v>
      </c>
      <c r="N195" s="16">
        <v>4.41E-2</v>
      </c>
      <c r="O195" s="16">
        <v>0.1176</v>
      </c>
      <c r="P195" s="15">
        <v>5</v>
      </c>
      <c r="Q195" s="15"/>
      <c r="R195" s="15"/>
      <c r="S195" s="15"/>
      <c r="T195" s="15">
        <v>5.5</v>
      </c>
      <c r="U195" s="15">
        <v>0.2</v>
      </c>
      <c r="V195" s="15">
        <v>0.96</v>
      </c>
      <c r="W195" s="15"/>
      <c r="X195" s="19">
        <f>IF(B195=0,0,100*(C195+2*H195+3*I195)/B195)</f>
        <v>33.121019108280258</v>
      </c>
      <c r="Y195" s="19">
        <f>IF(C195=0,0,(J195+K195)/C195)</f>
        <v>0.2</v>
      </c>
      <c r="Z195" s="19"/>
      <c r="AA195" s="19">
        <f>MAX(0,MIN(10,5+50*(D195-0.55)+25*(E195-F195)))</f>
        <v>0</v>
      </c>
      <c r="AB195" s="19">
        <f>MAX(0,MIN(10,0.2*G195+5*Y195))</f>
        <v>5.1380000000000008</v>
      </c>
      <c r="AC195" s="19">
        <f t="shared" ref="AC195:AC208" si="153">MAX(0,MIN(10,X195/4))</f>
        <v>8.2802547770700645</v>
      </c>
      <c r="AD195" s="19">
        <f>MAX(0,MIN(10,2+0.15*G195+4*Y195-0.03*((L195+M195)/2)))</f>
        <v>5.8915000000000006</v>
      </c>
      <c r="AE195" s="19">
        <f>MAX(0,MIN(10,0.15*N195+0.08*O195))</f>
        <v>1.6022999999999999E-2</v>
      </c>
      <c r="AF195" s="19"/>
      <c r="AG195" s="19"/>
      <c r="AH195" s="19">
        <f>MAX(0,MIN(10,P195/3.2-2*U195))</f>
        <v>1.1625000000000001</v>
      </c>
      <c r="AI195" s="19">
        <f>10*(0.22*AA195+0.2*AB195+0.18*AC195+0.12*AD195+0.1*AE195+0.13*T195+0.05*AH195)</f>
        <v>39.997531598726127</v>
      </c>
      <c r="AJ195" s="19">
        <f>AI195*V195</f>
        <v>38.397630334777084</v>
      </c>
      <c r="AK195" s="20">
        <f>AJ195*(P195/200)</f>
        <v>0.95994075836942716</v>
      </c>
    </row>
    <row r="196" spans="1:50" x14ac:dyDescent="0.25">
      <c r="A196" t="s">
        <v>246</v>
      </c>
      <c r="B196" s="16">
        <v>0.54</v>
      </c>
      <c r="C196" s="16">
        <v>0.54900000000000004</v>
      </c>
      <c r="D196" s="15">
        <v>0.42299999999999999</v>
      </c>
      <c r="E196" s="15">
        <v>0.155</v>
      </c>
      <c r="F196" s="16">
        <v>0.06</v>
      </c>
      <c r="G196" s="16">
        <v>0.15</v>
      </c>
      <c r="H196" s="16">
        <v>0.2</v>
      </c>
      <c r="I196" s="23">
        <v>3.5000000000000003E-2</v>
      </c>
      <c r="J196" s="16">
        <v>2E-3</v>
      </c>
      <c r="K196" s="18">
        <v>0.13500000000000001</v>
      </c>
      <c r="L196" s="16">
        <v>0.25</v>
      </c>
      <c r="M196" s="15">
        <v>108</v>
      </c>
      <c r="N196" s="15">
        <v>84.5</v>
      </c>
      <c r="O196" s="15">
        <v>0.22</v>
      </c>
      <c r="P196" s="15">
        <v>6.8</v>
      </c>
      <c r="Q196" s="15">
        <v>4.2</v>
      </c>
      <c r="R196" s="15">
        <v>11</v>
      </c>
      <c r="S196" s="15">
        <v>10</v>
      </c>
      <c r="T196" s="15">
        <v>5.5</v>
      </c>
      <c r="U196" s="15">
        <v>0.2</v>
      </c>
      <c r="V196" s="15">
        <v>0.98</v>
      </c>
      <c r="W196" s="15">
        <v>0.96</v>
      </c>
      <c r="X196" s="19">
        <f t="shared" ref="X196:X199" si="154">MAX(0,MIN(100,0.45*M196+0.6*H196+0.35*L196-0.2*K196-15))</f>
        <v>33.780499999999996</v>
      </c>
      <c r="Y196" s="19">
        <f t="shared" ref="Y196:Y199" si="155">MAX(0,MIN(1,0.012*L196+0.025*P196+0.3*E196+0.2*D196-0.18))</f>
        <v>0.12410000000000004</v>
      </c>
      <c r="Z196" s="19">
        <f t="shared" ref="Z196:Z199" si="156">MAX(0,MIN(10,1+0.45*R196+30*O196+0.04*(M196-N196)))</f>
        <v>10</v>
      </c>
      <c r="AA196" s="19">
        <f t="shared" ref="AA196:AA199" si="157">MAX(0,MIN(10,3+20*(B196-0.52)+15*(C196-0.5)+0.06*(M196-100)))</f>
        <v>4.6150000000000002</v>
      </c>
      <c r="AB196" s="19">
        <f t="shared" ref="AB196:AB199" si="158">MAX(0,MIN(10,0.16*L196+0.55*P196+4*E196))</f>
        <v>4.4000000000000004</v>
      </c>
      <c r="AC196" s="19">
        <f t="shared" ref="AC196:AC199" si="159">MAX(0,MIN(10,2+0.22*H196-0.12*K196+0.15*P196))</f>
        <v>3.0478000000000001</v>
      </c>
      <c r="AD196" s="19">
        <f t="shared" ref="AD196:AD199" si="160">MAX(0,MIN(10,2+0.28*P196+0.1*L196+2*D196+1.5*E196))</f>
        <v>5.0074999999999994</v>
      </c>
      <c r="AE196" s="19">
        <f t="shared" ref="AE196:AE199" si="161">MAX(0,MIN(10,0.18*F196+0.08*G196))</f>
        <v>2.2800000000000001E-2</v>
      </c>
      <c r="AF196" s="19">
        <f t="shared" ref="AF196:AF199" si="162">MAX(0,MIN(10,4+0.3*Q196+0.6*I196+0.5*J196+0.03*(105-N196)))</f>
        <v>5.8970000000000002</v>
      </c>
      <c r="AG196" s="19">
        <f t="shared" ref="AG196:AG199" si="163">0.6*AF196+0.4*T196</f>
        <v>5.7382000000000009</v>
      </c>
      <c r="AH196" s="19">
        <f t="shared" ref="AH196:AH199" si="164">MAX(0,MIN(10,S196/3.2-2*U196))</f>
        <v>2.7250000000000001</v>
      </c>
      <c r="AI196" s="19">
        <f t="shared" ref="AI196:AI199" si="165">10*(0.18*Z196+0.17*AA196+0.15*AB196+0.14*AC196+0.1*AD196+0.08*AE196+0.1*AG196+0.08*AH196)</f>
        <v>49.656360000000006</v>
      </c>
      <c r="AJ196" s="19">
        <f t="shared" ref="AJ196:AJ199" si="166">AI196*V196*W196</f>
        <v>46.716703488</v>
      </c>
      <c r="AK196" s="20">
        <f t="shared" ref="AK196:AK199" si="167">AJ196*(P196/200)</f>
        <v>1.5883679185920001</v>
      </c>
    </row>
    <row r="197" spans="1:50" x14ac:dyDescent="0.25">
      <c r="A197" t="s">
        <v>247</v>
      </c>
      <c r="B197" s="16">
        <v>0.57499999999999996</v>
      </c>
      <c r="C197" s="16">
        <v>0.52200000000000002</v>
      </c>
      <c r="D197" s="15">
        <v>0.222</v>
      </c>
      <c r="E197" s="15">
        <v>0.40799999999999997</v>
      </c>
      <c r="F197" s="16">
        <v>2.3E-2</v>
      </c>
      <c r="G197" s="16">
        <v>8.2000000000000003E-2</v>
      </c>
      <c r="H197" s="16">
        <v>0.20100000000000001</v>
      </c>
      <c r="I197" s="23">
        <v>3.3000000000000002E-2</v>
      </c>
      <c r="J197" s="16">
        <v>1.0999999999999999E-2</v>
      </c>
      <c r="K197" s="18">
        <v>0.124</v>
      </c>
      <c r="L197" s="16">
        <v>0.22900000000000001</v>
      </c>
      <c r="M197" s="15">
        <v>122.1</v>
      </c>
      <c r="N197" s="15">
        <v>82.9</v>
      </c>
      <c r="O197" s="15">
        <v>0.28599999999999998</v>
      </c>
      <c r="P197" s="15">
        <v>8.1</v>
      </c>
      <c r="Q197" s="15">
        <v>6.6</v>
      </c>
      <c r="R197" s="15">
        <v>14.6</v>
      </c>
      <c r="S197" s="15">
        <v>17</v>
      </c>
      <c r="T197" s="15">
        <v>5.5</v>
      </c>
      <c r="U197" s="15">
        <v>0.2</v>
      </c>
      <c r="V197" s="15">
        <v>1.03</v>
      </c>
      <c r="W197" s="15">
        <v>1</v>
      </c>
      <c r="X197" s="19">
        <f t="shared" si="154"/>
        <v>40.120950000000008</v>
      </c>
      <c r="Y197" s="19">
        <f t="shared" si="155"/>
        <v>0.192048</v>
      </c>
      <c r="Z197" s="19">
        <f t="shared" si="156"/>
        <v>10</v>
      </c>
      <c r="AA197" s="19">
        <f t="shared" si="157"/>
        <v>5.7559999999999985</v>
      </c>
      <c r="AB197" s="19">
        <f t="shared" si="158"/>
        <v>6.12364</v>
      </c>
      <c r="AC197" s="19">
        <f t="shared" si="159"/>
        <v>3.2443400000000002</v>
      </c>
      <c r="AD197" s="19">
        <f t="shared" si="160"/>
        <v>5.3469000000000007</v>
      </c>
      <c r="AE197" s="19">
        <f t="shared" si="161"/>
        <v>1.0700000000000001E-2</v>
      </c>
      <c r="AF197" s="19">
        <f t="shared" si="162"/>
        <v>6.6682999999999986</v>
      </c>
      <c r="AG197" s="19">
        <f t="shared" si="163"/>
        <v>6.2009799999999995</v>
      </c>
      <c r="AH197" s="19">
        <f t="shared" si="164"/>
        <v>4.9124999999999996</v>
      </c>
      <c r="AI197" s="19">
        <f t="shared" si="165"/>
        <v>56.999175999999999</v>
      </c>
      <c r="AJ197" s="19">
        <f t="shared" si="166"/>
        <v>58.70915128</v>
      </c>
      <c r="AK197" s="20">
        <f t="shared" si="167"/>
        <v>2.37772062684</v>
      </c>
    </row>
    <row r="198" spans="1:50" x14ac:dyDescent="0.25">
      <c r="A198" t="s">
        <v>248</v>
      </c>
      <c r="B198" s="16">
        <v>0.58699999999999997</v>
      </c>
      <c r="C198" s="16">
        <v>0.55800000000000005</v>
      </c>
      <c r="D198" s="15">
        <v>0.52</v>
      </c>
      <c r="E198" s="15">
        <v>0.17299999999999999</v>
      </c>
      <c r="F198" s="16">
        <v>1.2E-2</v>
      </c>
      <c r="G198" s="16">
        <v>7.1999999999999995E-2</v>
      </c>
      <c r="H198" s="16">
        <v>0.14199999999999999</v>
      </c>
      <c r="I198" s="23">
        <v>1.4E-2</v>
      </c>
      <c r="J198" s="16">
        <v>0</v>
      </c>
      <c r="K198" s="18">
        <v>0.128</v>
      </c>
      <c r="L198" s="16">
        <v>0.20399999999999999</v>
      </c>
      <c r="M198" s="15">
        <v>113.9</v>
      </c>
      <c r="N198" s="15">
        <v>95.9</v>
      </c>
      <c r="O198" s="15">
        <v>0.17</v>
      </c>
      <c r="P198" s="15">
        <v>6.9</v>
      </c>
      <c r="Q198" s="15">
        <v>1.6</v>
      </c>
      <c r="R198" s="15">
        <v>8.5</v>
      </c>
      <c r="S198" s="15">
        <v>8</v>
      </c>
      <c r="T198" s="15">
        <v>4.5</v>
      </c>
      <c r="U198" s="15">
        <v>0.2</v>
      </c>
      <c r="V198" s="15">
        <v>0.96</v>
      </c>
      <c r="W198" s="15">
        <v>0.95</v>
      </c>
      <c r="X198" s="19">
        <f t="shared" si="154"/>
        <v>36.386000000000003</v>
      </c>
      <c r="Y198" s="19">
        <f t="shared" si="155"/>
        <v>0.15084800000000004</v>
      </c>
      <c r="Z198" s="19">
        <f t="shared" si="156"/>
        <v>10</v>
      </c>
      <c r="AA198" s="19">
        <f t="shared" si="157"/>
        <v>6.0440000000000005</v>
      </c>
      <c r="AB198" s="19">
        <f t="shared" si="158"/>
        <v>4.5196399999999999</v>
      </c>
      <c r="AC198" s="19">
        <f t="shared" si="159"/>
        <v>3.0508800000000003</v>
      </c>
      <c r="AD198" s="19">
        <f t="shared" si="160"/>
        <v>5.2519</v>
      </c>
      <c r="AE198" s="19">
        <f t="shared" si="161"/>
        <v>7.92E-3</v>
      </c>
      <c r="AF198" s="19">
        <f t="shared" si="162"/>
        <v>4.7614000000000001</v>
      </c>
      <c r="AG198" s="19">
        <f t="shared" si="163"/>
        <v>4.6568399999999999</v>
      </c>
      <c r="AH198" s="19">
        <f t="shared" si="164"/>
        <v>2.1</v>
      </c>
      <c r="AI198" s="19">
        <f t="shared" si="165"/>
        <v>50.920567999999989</v>
      </c>
      <c r="AJ198" s="19">
        <f t="shared" si="166"/>
        <v>46.439558015999985</v>
      </c>
      <c r="AK198" s="20">
        <f t="shared" si="167"/>
        <v>1.6021647515519997</v>
      </c>
    </row>
    <row r="199" spans="1:50" x14ac:dyDescent="0.25">
      <c r="A199" t="s">
        <v>249</v>
      </c>
      <c r="B199" s="16">
        <v>0.57399999999999995</v>
      </c>
      <c r="C199" s="16">
        <v>0.55600000000000005</v>
      </c>
      <c r="D199" s="15">
        <v>0.878</v>
      </c>
      <c r="E199" s="15">
        <v>0.112</v>
      </c>
      <c r="F199" s="16">
        <v>0.04</v>
      </c>
      <c r="G199" s="16">
        <v>0.13500000000000001</v>
      </c>
      <c r="H199" s="16">
        <v>8.2000000000000003E-2</v>
      </c>
      <c r="I199" s="23">
        <v>1.4E-2</v>
      </c>
      <c r="J199" s="16">
        <v>4.1000000000000002E-2</v>
      </c>
      <c r="K199" s="18">
        <v>0.113</v>
      </c>
      <c r="L199" s="16">
        <v>0.153</v>
      </c>
      <c r="M199" s="15">
        <v>117.7</v>
      </c>
      <c r="N199" s="15">
        <v>89.2</v>
      </c>
      <c r="O199" s="15">
        <v>0.17499999999999999</v>
      </c>
      <c r="P199" s="15">
        <v>6.7</v>
      </c>
      <c r="Q199" s="15">
        <v>5.0999999999999996</v>
      </c>
      <c r="R199" s="15">
        <v>11.8</v>
      </c>
      <c r="S199" s="15">
        <v>9</v>
      </c>
      <c r="T199" s="15">
        <v>6</v>
      </c>
      <c r="U199" s="15">
        <v>0.2</v>
      </c>
      <c r="V199" s="15">
        <v>0.97</v>
      </c>
      <c r="W199" s="15">
        <v>0.96</v>
      </c>
      <c r="X199" s="19">
        <f t="shared" si="154"/>
        <v>38.045150000000007</v>
      </c>
      <c r="Y199" s="19">
        <f t="shared" si="155"/>
        <v>0.19853599999999999</v>
      </c>
      <c r="Z199" s="19">
        <f t="shared" si="156"/>
        <v>10</v>
      </c>
      <c r="AA199" s="19">
        <f t="shared" si="157"/>
        <v>5.9819999999999993</v>
      </c>
      <c r="AB199" s="19">
        <f t="shared" si="158"/>
        <v>4.1574800000000005</v>
      </c>
      <c r="AC199" s="19">
        <f t="shared" si="159"/>
        <v>3.0094799999999999</v>
      </c>
      <c r="AD199" s="19">
        <f t="shared" si="160"/>
        <v>5.8153000000000006</v>
      </c>
      <c r="AE199" s="19">
        <f t="shared" si="161"/>
        <v>1.8000000000000002E-2</v>
      </c>
      <c r="AF199" s="19">
        <f t="shared" si="162"/>
        <v>6.0328999999999997</v>
      </c>
      <c r="AG199" s="19">
        <f t="shared" si="163"/>
        <v>6.0197400000000005</v>
      </c>
      <c r="AH199" s="19">
        <f t="shared" si="164"/>
        <v>2.4125000000000001</v>
      </c>
      <c r="AI199" s="19">
        <f t="shared" si="165"/>
        <v>52.398331999999996</v>
      </c>
      <c r="AJ199" s="19">
        <f t="shared" si="166"/>
        <v>48.793326758399999</v>
      </c>
      <c r="AK199" s="20">
        <f t="shared" si="167"/>
        <v>1.6345764464064001</v>
      </c>
    </row>
    <row r="200" spans="1:50" x14ac:dyDescent="0.25">
      <c r="A200" t="s">
        <v>250</v>
      </c>
      <c r="B200" s="15">
        <v>2662</v>
      </c>
      <c r="C200" s="15">
        <v>803</v>
      </c>
      <c r="D200" s="16">
        <v>0.60189999999999999</v>
      </c>
      <c r="E200" s="16">
        <v>0.57210000000000005</v>
      </c>
      <c r="F200" s="15">
        <v>0.48</v>
      </c>
      <c r="G200" s="15">
        <v>25.23</v>
      </c>
      <c r="H200" s="15">
        <v>396</v>
      </c>
      <c r="I200" s="17">
        <v>192</v>
      </c>
      <c r="J200" s="15">
        <v>112</v>
      </c>
      <c r="K200" s="15">
        <v>6</v>
      </c>
      <c r="L200" s="16">
        <v>0.77949999999999997</v>
      </c>
      <c r="M200" s="18">
        <v>0.96970000000000001</v>
      </c>
      <c r="N200" s="16">
        <v>4.4200000000000003E-2</v>
      </c>
      <c r="O200" s="16">
        <v>0.19059999999999999</v>
      </c>
      <c r="P200" s="15">
        <v>33</v>
      </c>
      <c r="Q200" s="15"/>
      <c r="R200" s="15"/>
      <c r="S200" s="15"/>
      <c r="T200" s="15">
        <v>8</v>
      </c>
      <c r="U200" s="15">
        <v>0.2</v>
      </c>
      <c r="V200" s="15">
        <v>1.03</v>
      </c>
      <c r="W200" s="15"/>
      <c r="X200" s="19">
        <f>IF(B200=0,0,100*(C200+2*H200+3*I200)/B200)</f>
        <v>81.555221637866268</v>
      </c>
      <c r="Y200" s="19">
        <f>IF(C200=0,0,(J200+K200)/C200)</f>
        <v>0.14694894146948942</v>
      </c>
      <c r="Z200" s="19"/>
      <c r="AA200" s="19">
        <f>MAX(0,MIN(10,5+50*(D200-0.55)+25*(E200-F200)))</f>
        <v>9.8974999999999991</v>
      </c>
      <c r="AB200" s="19">
        <f>MAX(0,MIN(10,0.2*G200+5*Y200))</f>
        <v>5.7807447073474476</v>
      </c>
      <c r="AC200" s="19">
        <f t="shared" si="153"/>
        <v>10</v>
      </c>
      <c r="AD200" s="19">
        <f>MAX(0,MIN(10,2+0.15*G200+4*Y200-0.03*((L200+M200)/2)))</f>
        <v>6.3460577658779567</v>
      </c>
      <c r="AE200" s="19">
        <f>MAX(0,MIN(10,0.15*N200+0.08*O200))</f>
        <v>2.1878000000000002E-2</v>
      </c>
      <c r="AF200" s="19"/>
      <c r="AG200" s="19"/>
      <c r="AH200" s="19">
        <f>MAX(0,MIN(10,P200/3.2-2*U200))</f>
        <v>9.9124999999999996</v>
      </c>
      <c r="AI200" s="19">
        <f>10*(0.22*AA200+0.2*AB200+0.18*AC200+0.12*AD200+0.1*AE200+0.13*T200+0.05*AH200)</f>
        <v>74.329386733748436</v>
      </c>
      <c r="AJ200" s="19">
        <f>AI200*V200</f>
        <v>76.559268335760891</v>
      </c>
      <c r="AK200" s="20">
        <f>AJ200*(P200/200)</f>
        <v>12.632279275400547</v>
      </c>
    </row>
    <row r="201" spans="1:50" x14ac:dyDescent="0.25">
      <c r="A201" t="s">
        <v>251</v>
      </c>
      <c r="B201" s="15">
        <v>2718</v>
      </c>
      <c r="C201" s="15">
        <v>811</v>
      </c>
      <c r="D201" s="16">
        <v>0.61160000000000003</v>
      </c>
      <c r="E201" s="16">
        <v>0.5857</v>
      </c>
      <c r="F201" s="15">
        <v>0.55000000000000004</v>
      </c>
      <c r="G201" s="15">
        <v>25.36</v>
      </c>
      <c r="H201" s="15">
        <v>466</v>
      </c>
      <c r="I201" s="17">
        <v>42</v>
      </c>
      <c r="J201" s="15">
        <v>152</v>
      </c>
      <c r="K201" s="15">
        <v>3</v>
      </c>
      <c r="L201" s="16">
        <v>0.754</v>
      </c>
      <c r="M201" s="18">
        <v>0.93330000000000002</v>
      </c>
      <c r="N201" s="16">
        <v>9.1899999999999996E-2</v>
      </c>
      <c r="O201" s="16">
        <v>0.1734</v>
      </c>
      <c r="P201" s="15">
        <f>1364/44</f>
        <v>31</v>
      </c>
      <c r="Q201" s="15"/>
      <c r="R201" s="15"/>
      <c r="S201" s="15"/>
      <c r="T201" s="15">
        <v>7</v>
      </c>
      <c r="U201" s="15">
        <v>0.2</v>
      </c>
      <c r="V201" s="15">
        <v>1.02</v>
      </c>
      <c r="W201" s="15"/>
      <c r="X201" s="19">
        <f>IF(B201=0,0,100*(C201+2*H201+3*I201)/B201)</f>
        <v>68.763796909492271</v>
      </c>
      <c r="Y201" s="19">
        <f>IF(C201=0,0,(J201+K201)/C201)</f>
        <v>0.19112207151664612</v>
      </c>
      <c r="Z201" s="19"/>
      <c r="AA201" s="19">
        <f>MAX(0,MIN(10,5+50*(D201-0.55)+25*(E201-F201)))</f>
        <v>8.9724999999999966</v>
      </c>
      <c r="AB201" s="19">
        <f>MAX(0,MIN(10,0.2*G201+5*Y201))</f>
        <v>6.0276103575832307</v>
      </c>
      <c r="AC201" s="19">
        <f t="shared" si="153"/>
        <v>10</v>
      </c>
      <c r="AD201" s="19">
        <f>MAX(0,MIN(10,2+0.15*G201+4*Y201-0.03*((L201+M201)/2)))</f>
        <v>6.5431787860665853</v>
      </c>
      <c r="AE201" s="19">
        <f>MAX(0,MIN(10,0.15*N201+0.08*O201))</f>
        <v>2.7657000000000001E-2</v>
      </c>
      <c r="AF201" s="19"/>
      <c r="AG201" s="19"/>
      <c r="AH201" s="19">
        <f>MAX(0,MIN(10,P201/3.2-2*U201))</f>
        <v>9.2874999999999996</v>
      </c>
      <c r="AI201" s="19">
        <f>10*(0.22*AA201+0.2*AB201+0.18*AC201+0.12*AD201+0.1*AE201+0.13*T201+0.05*AH201)</f>
        <v>71.417942258446359</v>
      </c>
      <c r="AJ201" s="19">
        <f>AI201*V201</f>
        <v>72.846301103615289</v>
      </c>
      <c r="AK201" s="20">
        <f>AJ201*(P201/200)</f>
        <v>11.29117667106037</v>
      </c>
    </row>
    <row r="202" spans="1:50" x14ac:dyDescent="0.25">
      <c r="A202" t="s">
        <v>252</v>
      </c>
      <c r="B202" s="15">
        <v>1866</v>
      </c>
      <c r="C202" s="15">
        <v>447</v>
      </c>
      <c r="D202" s="16">
        <v>0.55069999999999997</v>
      </c>
      <c r="E202" s="16">
        <v>0.50270000000000004</v>
      </c>
      <c r="F202" s="15">
        <v>0.45</v>
      </c>
      <c r="G202" s="15">
        <v>22.09</v>
      </c>
      <c r="H202" s="15">
        <v>98</v>
      </c>
      <c r="I202" s="17">
        <v>111</v>
      </c>
      <c r="J202" s="15">
        <v>140</v>
      </c>
      <c r="K202" s="15">
        <v>18</v>
      </c>
      <c r="L202" s="16">
        <v>0.4118</v>
      </c>
      <c r="M202" s="16">
        <v>0.86050000000000004</v>
      </c>
      <c r="N202" s="16">
        <v>2.5499999999999998E-2</v>
      </c>
      <c r="O202" s="16">
        <v>9.4500000000000001E-2</v>
      </c>
      <c r="P202" s="15">
        <v>29</v>
      </c>
      <c r="Q202" s="15"/>
      <c r="R202" s="15"/>
      <c r="S202" s="15"/>
      <c r="T202" s="15">
        <v>5.5</v>
      </c>
      <c r="U202" s="15">
        <v>0.3</v>
      </c>
      <c r="V202" s="15">
        <v>1</v>
      </c>
      <c r="W202" s="15"/>
      <c r="X202" s="19">
        <f>IF(B202=0,0,100*(C202+2*H202+3*I202)/B202)</f>
        <v>52.30439442658092</v>
      </c>
      <c r="Y202" s="19">
        <f>IF(C202=0,0,(J202+K202)/C202)</f>
        <v>0.3534675615212528</v>
      </c>
      <c r="Z202" s="19"/>
      <c r="AA202" s="19">
        <f>MAX(0,MIN(10,5+50*(D202-0.55)+25*(E202-F202)))</f>
        <v>6.3524999999999974</v>
      </c>
      <c r="AB202" s="19">
        <f>MAX(0,MIN(10,0.2*G202+5*Y202))</f>
        <v>6.1853378076062642</v>
      </c>
      <c r="AC202" s="19">
        <f>MAX(0,MIN(10,X202/4))</f>
        <v>10</v>
      </c>
      <c r="AD202" s="19">
        <f>MAX(0,MIN(10,2+0.15*G202+4*Y202-0.03*((L202+M202)/2)))</f>
        <v>6.7082857460850107</v>
      </c>
      <c r="AE202" s="19">
        <f>MAX(0,MIN(10,0.15*N202+0.08*O202))</f>
        <v>1.1384999999999999E-2</v>
      </c>
      <c r="AF202" s="19"/>
      <c r="AG202" s="19"/>
      <c r="AH202" s="19">
        <f>MAX(0,MIN(10,P202/3.2-2*U202))</f>
        <v>8.4625000000000004</v>
      </c>
      <c r="AI202" s="19">
        <f>10*(0.22*AA202+0.2*AB202+0.18*AC202+0.12*AD202+0.1*AE202+0.13*T202+0.05*AH202)</f>
        <v>63.788753510514525</v>
      </c>
      <c r="AJ202" s="19">
        <f>AI202*V202</f>
        <v>63.788753510514525</v>
      </c>
      <c r="AK202" s="20">
        <f>AJ202*(P202/200)</f>
        <v>9.2493692590246059</v>
      </c>
    </row>
    <row r="203" spans="1:50" x14ac:dyDescent="0.25">
      <c r="A203" t="s">
        <v>253</v>
      </c>
      <c r="B203" s="15">
        <v>1059</v>
      </c>
      <c r="C203" s="15">
        <v>211</v>
      </c>
      <c r="D203" s="16">
        <v>0.53549999999999998</v>
      </c>
      <c r="E203" s="16">
        <v>0.49440000000000001</v>
      </c>
      <c r="F203" s="15">
        <v>0.53</v>
      </c>
      <c r="G203" s="15">
        <v>18.41</v>
      </c>
      <c r="H203" s="15">
        <v>74</v>
      </c>
      <c r="I203" s="17">
        <v>60</v>
      </c>
      <c r="J203" s="15">
        <v>36</v>
      </c>
      <c r="K203" s="15">
        <v>6</v>
      </c>
      <c r="L203" s="16">
        <v>0.67269999999999996</v>
      </c>
      <c r="M203" s="18">
        <v>0.90910000000000002</v>
      </c>
      <c r="N203" s="16">
        <v>3.7699999999999997E-2</v>
      </c>
      <c r="O203" s="16">
        <v>8.4099999999999994E-2</v>
      </c>
      <c r="P203" s="15">
        <v>19</v>
      </c>
      <c r="Q203" s="15"/>
      <c r="R203" s="15"/>
      <c r="S203" s="15"/>
      <c r="T203" s="15">
        <v>4</v>
      </c>
      <c r="U203" s="15">
        <v>0.2</v>
      </c>
      <c r="V203" s="15">
        <v>1</v>
      </c>
      <c r="W203" s="15"/>
      <c r="X203" s="19">
        <f>IF(B203=0,0,100*(C203+2*H203+3*I203)/B203)</f>
        <v>50.89707271010387</v>
      </c>
      <c r="Y203" s="19">
        <f>IF(C203=0,0,(J203+K203)/C203)</f>
        <v>0.1990521327014218</v>
      </c>
      <c r="Z203" s="19"/>
      <c r="AA203" s="19">
        <f>MAX(0,MIN(10,5+50*(D203-0.55)+25*(E203-F203)))</f>
        <v>3.3849999999999962</v>
      </c>
      <c r="AB203" s="19">
        <f>MAX(0,MIN(10,0.2*G203+5*Y203))</f>
        <v>4.6772606635071092</v>
      </c>
      <c r="AC203" s="19">
        <f t="shared" si="153"/>
        <v>10</v>
      </c>
      <c r="AD203" s="19">
        <f>MAX(0,MIN(10,2+0.15*G203+4*Y203-0.03*((L203+M203)/2)))</f>
        <v>5.5339815308056872</v>
      </c>
      <c r="AE203" s="19">
        <f>MAX(0,MIN(10,0.15*N203+0.08*O203))</f>
        <v>1.2382999999999998E-2</v>
      </c>
      <c r="AF203" s="19"/>
      <c r="AG203" s="19"/>
      <c r="AH203" s="19">
        <f>MAX(0,MIN(10,P203/3.2-2*U203))</f>
        <v>5.5374999999999996</v>
      </c>
      <c r="AI203" s="19">
        <f>10*(0.22*AA203+0.2*AB203+0.18*AC203+0.12*AD203+0.1*AE203+0.13*T203+0.05*AH203)</f>
        <v>49.42343216398104</v>
      </c>
      <c r="AJ203" s="19">
        <f>AI203*V203</f>
        <v>49.42343216398104</v>
      </c>
      <c r="AK203" s="20">
        <f>AJ203*(P203/200)</f>
        <v>4.6952260555781988</v>
      </c>
    </row>
    <row r="204" spans="1:50" x14ac:dyDescent="0.25">
      <c r="A204" t="s">
        <v>254</v>
      </c>
      <c r="B204" s="15">
        <v>2208</v>
      </c>
      <c r="C204" s="15">
        <v>455</v>
      </c>
      <c r="D204" s="16">
        <v>0.51129999999999998</v>
      </c>
      <c r="E204" s="16">
        <v>0.49049999999999999</v>
      </c>
      <c r="F204" s="15">
        <v>0.45</v>
      </c>
      <c r="G204" s="15">
        <v>20.55</v>
      </c>
      <c r="H204" s="15">
        <v>60</v>
      </c>
      <c r="I204" s="17">
        <v>180</v>
      </c>
      <c r="J204" s="15">
        <v>124</v>
      </c>
      <c r="K204" s="15">
        <v>48</v>
      </c>
      <c r="L204" s="16">
        <v>0.3261</v>
      </c>
      <c r="M204" s="18">
        <v>0.78949999999999998</v>
      </c>
      <c r="N204" s="16">
        <v>1.66E-2</v>
      </c>
      <c r="O204" s="16">
        <v>0.1008</v>
      </c>
      <c r="P204" s="15">
        <v>27</v>
      </c>
      <c r="Q204" s="15"/>
      <c r="R204" s="15"/>
      <c r="S204" s="15"/>
      <c r="T204" s="15">
        <v>5</v>
      </c>
      <c r="U204" s="15">
        <v>0.2</v>
      </c>
      <c r="V204" s="15">
        <v>1</v>
      </c>
      <c r="W204" s="15"/>
      <c r="X204" s="19">
        <f>IF(B204=0,0,100*(C204+2*H204+3*I204)/B204)</f>
        <v>50.498188405797102</v>
      </c>
      <c r="Y204" s="19">
        <f>IF(C204=0,0,(J204+K204)/C204)</f>
        <v>0.37802197802197801</v>
      </c>
      <c r="Z204" s="19"/>
      <c r="AA204" s="19">
        <f>MAX(0,MIN(10,5+50*(D204-0.55)+25*(E204-F204)))</f>
        <v>4.0774999999999961</v>
      </c>
      <c r="AB204" s="19">
        <f>MAX(0,MIN(10,0.2*G204+5*Y204))</f>
        <v>6.0001098901098899</v>
      </c>
      <c r="AC204" s="19">
        <f t="shared" si="153"/>
        <v>10</v>
      </c>
      <c r="AD204" s="19">
        <f>MAX(0,MIN(10,2+0.15*G204+4*Y204-0.03*((L204+M204)/2)))</f>
        <v>6.577853912087912</v>
      </c>
      <c r="AE204" s="19">
        <f>MAX(0,MIN(10,0.15*N204+0.08*O204))</f>
        <v>1.0554000000000001E-2</v>
      </c>
      <c r="AF204" s="19"/>
      <c r="AG204" s="19"/>
      <c r="AH204" s="19">
        <f>MAX(0,MIN(10,P204/3.2-2*U204))</f>
        <v>8.0374999999999996</v>
      </c>
      <c r="AI204" s="19">
        <f>10*(0.22*AA204+0.2*AB204+0.18*AC204+0.12*AD204+0.1*AE204+0.13*T204+0.05*AH204)</f>
        <v>57.393448474725268</v>
      </c>
      <c r="AJ204" s="19">
        <f>AI204*V204</f>
        <v>57.393448474725268</v>
      </c>
      <c r="AK204" s="20">
        <f>AJ204*(P204/200)</f>
        <v>7.7481155440879119</v>
      </c>
    </row>
    <row r="205" spans="1:50" x14ac:dyDescent="0.25">
      <c r="A205" t="s">
        <v>255</v>
      </c>
      <c r="B205" s="15">
        <v>422</v>
      </c>
      <c r="C205" s="15">
        <v>93</v>
      </c>
      <c r="D205" s="16">
        <v>0.62839999999999996</v>
      </c>
      <c r="E205" s="16">
        <v>0.61899999999999999</v>
      </c>
      <c r="F205" s="15">
        <v>0.52</v>
      </c>
      <c r="G205" s="15">
        <v>18.91</v>
      </c>
      <c r="H205" s="15">
        <v>32</v>
      </c>
      <c r="I205" s="17">
        <v>39</v>
      </c>
      <c r="J205" s="15">
        <v>4</v>
      </c>
      <c r="K205" s="15">
        <v>3</v>
      </c>
      <c r="L205" s="16">
        <v>0.88890000000000002</v>
      </c>
      <c r="M205" s="18">
        <v>0.92859999999999998</v>
      </c>
      <c r="N205" s="16">
        <v>5.9200000000000003E-2</v>
      </c>
      <c r="O205" s="16">
        <v>0.13270000000000001</v>
      </c>
      <c r="P205" s="15">
        <v>11</v>
      </c>
      <c r="Q205" s="15"/>
      <c r="R205" s="15"/>
      <c r="S205" s="15"/>
      <c r="T205" s="15">
        <v>6</v>
      </c>
      <c r="U205" s="15">
        <v>0.2</v>
      </c>
      <c r="V205" s="15">
        <v>1</v>
      </c>
      <c r="W205" s="15"/>
      <c r="X205" s="19">
        <f>IF(B205=0,0,100*(C205+2*H205+3*I205)/B205)</f>
        <v>64.928909952606631</v>
      </c>
      <c r="Y205" s="19">
        <f>IF(C205=0,0,(J205+K205)/C205)</f>
        <v>7.5268817204301078E-2</v>
      </c>
      <c r="Z205" s="19"/>
      <c r="AA205" s="19">
        <f>MAX(0,MIN(10,5+50*(D205-0.55)+25*(E205-F205)))</f>
        <v>10</v>
      </c>
      <c r="AB205" s="19">
        <f>MAX(0,MIN(10,0.2*G205+5*Y205))</f>
        <v>4.1583440860215051</v>
      </c>
      <c r="AC205" s="19">
        <f t="shared" si="153"/>
        <v>10</v>
      </c>
      <c r="AD205" s="19">
        <f>MAX(0,MIN(10,2+0.15*G205+4*Y205-0.03*((L205+M205)/2)))</f>
        <v>5.1103127688172041</v>
      </c>
      <c r="AE205" s="19">
        <f>MAX(0,MIN(10,0.15*N205+0.08*O205))</f>
        <v>1.9495999999999999E-2</v>
      </c>
      <c r="AF205" s="19"/>
      <c r="AG205" s="19"/>
      <c r="AH205" s="19">
        <f>MAX(0,MIN(10,P205/3.2-2*U205))</f>
        <v>3.0375000000000001</v>
      </c>
      <c r="AI205" s="19">
        <f>10*(0.22*AA205+0.2*AB205+0.18*AC205+0.12*AD205+0.1*AE205+0.13*T205+0.05*AH205)</f>
        <v>63.787309494623656</v>
      </c>
      <c r="AJ205" s="19">
        <f>AI205*V205</f>
        <v>63.787309494623656</v>
      </c>
      <c r="AK205" s="20">
        <f>AJ205*(P205/200)</f>
        <v>3.5083020222043011</v>
      </c>
    </row>
    <row r="206" spans="1:50" x14ac:dyDescent="0.25">
      <c r="A206" t="s">
        <v>256</v>
      </c>
      <c r="B206" s="15">
        <v>892</v>
      </c>
      <c r="C206" s="15">
        <v>99</v>
      </c>
      <c r="D206" s="16">
        <v>0.43419999999999997</v>
      </c>
      <c r="E206" s="16">
        <v>0.40989999999999999</v>
      </c>
      <c r="F206" s="15">
        <v>0.5</v>
      </c>
      <c r="G206" s="15">
        <v>16.149999999999999</v>
      </c>
      <c r="H206" s="15">
        <v>6</v>
      </c>
      <c r="I206" s="17">
        <v>69</v>
      </c>
      <c r="J206" s="15">
        <v>10</v>
      </c>
      <c r="K206" s="15">
        <v>6</v>
      </c>
      <c r="L206" s="16">
        <v>0.375</v>
      </c>
      <c r="M206" s="18">
        <v>0.92</v>
      </c>
      <c r="N206" s="16">
        <v>6.8999999999999999E-3</v>
      </c>
      <c r="O206" s="16">
        <v>6.6699999999999995E-2</v>
      </c>
      <c r="P206" s="15">
        <v>13</v>
      </c>
      <c r="Q206" s="15"/>
      <c r="R206" s="15"/>
      <c r="S206" s="15"/>
      <c r="T206" s="15">
        <v>4</v>
      </c>
      <c r="U206" s="15">
        <v>0.2</v>
      </c>
      <c r="V206" s="15">
        <v>1</v>
      </c>
      <c r="W206" s="15"/>
      <c r="X206" s="19">
        <f>IF(B206=0,0,100*(C206+2*H206+3*I206)/B206)</f>
        <v>35.650224215246638</v>
      </c>
      <c r="Y206" s="19">
        <f>IF(C206=0,0,(J206+K206)/C206)</f>
        <v>0.16161616161616163</v>
      </c>
      <c r="Z206" s="19"/>
      <c r="AA206" s="19">
        <f>MAX(0,MIN(10,5+50*(D206-0.55)+25*(E206-F206)))</f>
        <v>0</v>
      </c>
      <c r="AB206" s="19">
        <f>MAX(0,MIN(10,0.2*G206+5*Y206))</f>
        <v>4.0380808080808084</v>
      </c>
      <c r="AC206" s="19">
        <f t="shared" si="153"/>
        <v>8.9125560538116595</v>
      </c>
      <c r="AD206" s="19">
        <f>MAX(0,MIN(10,2+0.15*G206+4*Y206-0.03*((L206+M206)/2)))</f>
        <v>5.0495396464646456</v>
      </c>
      <c r="AE206" s="19">
        <f>MAX(0,MIN(10,0.15*N206+0.08*O206))</f>
        <v>6.3709999999999999E-3</v>
      </c>
      <c r="AF206" s="19"/>
      <c r="AG206" s="19"/>
      <c r="AH206" s="19">
        <f>MAX(0,MIN(10,P206/3.2-2*U206))</f>
        <v>3.6625000000000001</v>
      </c>
      <c r="AI206" s="19">
        <f>10*(0.22*AA206+0.2*AB206+0.18*AC206+0.12*AD206+0.1*AE206+0.13*T206+0.05*AH206)</f>
        <v>37.215831088780178</v>
      </c>
      <c r="AJ206" s="19">
        <f>AI206*V206</f>
        <v>37.215831088780178</v>
      </c>
      <c r="AK206" s="20">
        <f>AJ206*(P206/200)</f>
        <v>2.4190290207707115</v>
      </c>
    </row>
    <row r="207" spans="1:50" x14ac:dyDescent="0.25">
      <c r="A207" t="s">
        <v>257</v>
      </c>
      <c r="B207" s="15">
        <v>3001</v>
      </c>
      <c r="C207" s="15">
        <v>839</v>
      </c>
      <c r="D207" s="16">
        <v>0.56799999999999995</v>
      </c>
      <c r="E207" s="16">
        <v>0.50239999999999996</v>
      </c>
      <c r="F207" s="15">
        <v>0.49</v>
      </c>
      <c r="G207" s="15">
        <v>25.17</v>
      </c>
      <c r="H207" s="15">
        <v>82</v>
      </c>
      <c r="I207" s="17">
        <v>189</v>
      </c>
      <c r="J207" s="15">
        <v>242</v>
      </c>
      <c r="K207" s="15">
        <v>108</v>
      </c>
      <c r="L207" s="16">
        <v>0.25309999999999999</v>
      </c>
      <c r="M207" s="16">
        <v>0.63639999999999997</v>
      </c>
      <c r="N207" s="16">
        <v>6.7999999999999996E-3</v>
      </c>
      <c r="O207" s="16">
        <v>8.6800000000000002E-2</v>
      </c>
      <c r="P207" s="15">
        <v>35</v>
      </c>
      <c r="Q207" s="15"/>
      <c r="R207" s="15"/>
      <c r="S207" s="15"/>
      <c r="T207" s="15">
        <v>5</v>
      </c>
      <c r="U207" s="15">
        <v>0.2</v>
      </c>
      <c r="V207" s="15">
        <v>1.05</v>
      </c>
      <c r="W207" s="15"/>
      <c r="X207" s="19">
        <f>IF(B207=0,0,100*(C207+2*H207+3*I207)/B207)</f>
        <v>52.315894701766076</v>
      </c>
      <c r="Y207" s="19">
        <f>IF(C207=0,0,(J207+K207)/C207)</f>
        <v>0.41716328963051252</v>
      </c>
      <c r="Z207" s="19"/>
      <c r="AA207" s="19">
        <f>MAX(0,MIN(10,5+50*(D207-0.55)+25*(E207-F207)))</f>
        <v>6.2099999999999937</v>
      </c>
      <c r="AB207" s="19">
        <f>MAX(0,MIN(10,0.2*G207+5*Y207))</f>
        <v>7.1198164481525632</v>
      </c>
      <c r="AC207" s="19">
        <f t="shared" si="153"/>
        <v>10</v>
      </c>
      <c r="AD207" s="19">
        <f>MAX(0,MIN(10,2+0.15*G207+4*Y207-0.03*((L207+M207)/2)))</f>
        <v>7.4308106585220504</v>
      </c>
      <c r="AE207" s="19">
        <f>MAX(0,MIN(10,0.15*N207+0.08*O207))</f>
        <v>7.9640000000000006E-3</v>
      </c>
      <c r="AF207" s="19"/>
      <c r="AG207" s="19"/>
      <c r="AH207" s="19">
        <f>MAX(0,MIN(10,P207/3.2-2*U207))</f>
        <v>10</v>
      </c>
      <c r="AI207" s="19">
        <f>10*(0.22*AA207+0.2*AB207+0.18*AC207+0.12*AD207+0.1*AE207+0.13*T207+0.05*AH207)</f>
        <v>66.32656968653157</v>
      </c>
      <c r="AJ207" s="19">
        <f>AI207*V207</f>
        <v>69.642898170858146</v>
      </c>
      <c r="AK207" s="20">
        <f>AJ207*(P207/200)</f>
        <v>12.187507179900175</v>
      </c>
    </row>
    <row r="208" spans="1:50" x14ac:dyDescent="0.25">
      <c r="A208" t="s">
        <v>258</v>
      </c>
      <c r="B208" s="15">
        <v>498</v>
      </c>
      <c r="C208" s="15">
        <v>96</v>
      </c>
      <c r="D208" s="16">
        <v>0.52749999999999997</v>
      </c>
      <c r="E208" s="16">
        <v>0.48780000000000001</v>
      </c>
      <c r="F208" s="15">
        <v>0.52</v>
      </c>
      <c r="G208" s="15">
        <v>20.6</v>
      </c>
      <c r="H208" s="15">
        <v>30</v>
      </c>
      <c r="I208" s="17">
        <v>30</v>
      </c>
      <c r="J208" s="15">
        <v>20</v>
      </c>
      <c r="K208" s="15">
        <v>0</v>
      </c>
      <c r="L208" s="18">
        <v>0.6</v>
      </c>
      <c r="M208" s="18">
        <v>1</v>
      </c>
      <c r="N208" s="16">
        <v>0.10639999999999999</v>
      </c>
      <c r="O208" s="16">
        <v>0.2069</v>
      </c>
      <c r="P208" s="15">
        <v>16</v>
      </c>
      <c r="Q208" s="15"/>
      <c r="R208" s="15"/>
      <c r="S208" s="15"/>
      <c r="T208" s="15">
        <v>8</v>
      </c>
      <c r="U208" s="15">
        <v>0.2</v>
      </c>
      <c r="V208" s="15">
        <v>1</v>
      </c>
      <c r="W208" s="15"/>
      <c r="X208" s="19">
        <f>IF(B208=0,0,100*(C208+2*H208+3*I208)/B208)</f>
        <v>49.397590361445786</v>
      </c>
      <c r="Y208" s="19">
        <f>IF(C208=0,0,(J208+K208)/C208)</f>
        <v>0.20833333333333334</v>
      </c>
      <c r="Z208" s="19"/>
      <c r="AA208" s="19">
        <f>MAX(0,MIN(10,5+50*(D208-0.55)+25*(E208-F208)))</f>
        <v>3.0699999999999963</v>
      </c>
      <c r="AB208" s="19">
        <f>MAX(0,MIN(10,0.2*G208+5*Y208))</f>
        <v>5.1616666666666671</v>
      </c>
      <c r="AC208" s="19">
        <f t="shared" si="153"/>
        <v>10</v>
      </c>
      <c r="AD208" s="19">
        <f>MAX(0,MIN(10,2+0.15*G208+4*Y208-0.03*((L208+M208)/2)))</f>
        <v>5.8993333333333329</v>
      </c>
      <c r="AE208" s="19">
        <f>MAX(0,MIN(10,0.15*N208+0.08*O208))</f>
        <v>3.2511999999999999E-2</v>
      </c>
      <c r="AF208" s="19"/>
      <c r="AG208" s="19"/>
      <c r="AH208" s="19">
        <f>MAX(0,MIN(10,P208/3.2-2*U208))</f>
        <v>4.5999999999999996</v>
      </c>
      <c r="AI208" s="19">
        <f>10*(0.22*AA208+0.2*AB208+0.18*AC208+0.12*AD208+0.1*AE208+0.13*T208+0.05*AH208)</f>
        <v>54.889045333333328</v>
      </c>
      <c r="AJ208" s="19">
        <f>AI208*V208</f>
        <v>54.889045333333328</v>
      </c>
      <c r="AK208" s="20">
        <f>AJ208*(P208/200)</f>
        <v>4.3911236266666664</v>
      </c>
    </row>
    <row r="209" spans="1:50" s="32" customFormat="1" x14ac:dyDescent="0.25">
      <c r="A209" s="31" t="s">
        <v>259</v>
      </c>
      <c r="I209" s="33"/>
      <c r="AK209" s="24">
        <f>SUM(AK195:AK208)</f>
        <v>76.284899156453307</v>
      </c>
      <c r="AL209" s="3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s="6" customFormat="1" x14ac:dyDescent="0.25">
      <c r="A210" s="5"/>
      <c r="B210" s="4" t="s">
        <v>3</v>
      </c>
      <c r="C210" s="4" t="s">
        <v>4</v>
      </c>
      <c r="D210" s="4" t="s">
        <v>5</v>
      </c>
      <c r="E210" s="4" t="s">
        <v>6</v>
      </c>
      <c r="F210" s="4" t="s">
        <v>7</v>
      </c>
      <c r="G210" s="4" t="s">
        <v>8</v>
      </c>
      <c r="H210" s="4" t="s">
        <v>9</v>
      </c>
      <c r="I210" s="9" t="s">
        <v>10</v>
      </c>
      <c r="J210" s="4" t="s">
        <v>11</v>
      </c>
      <c r="K210" s="4" t="s">
        <v>12</v>
      </c>
      <c r="L210" s="4" t="s">
        <v>13</v>
      </c>
      <c r="M210" s="4" t="s">
        <v>14</v>
      </c>
      <c r="N210" s="4" t="s">
        <v>15</v>
      </c>
      <c r="O210" s="4" t="s">
        <v>16</v>
      </c>
      <c r="P210" s="4" t="s">
        <v>17</v>
      </c>
      <c r="Q210" s="4" t="s">
        <v>18</v>
      </c>
      <c r="R210" s="4" t="s">
        <v>19</v>
      </c>
      <c r="S210" s="4" t="s">
        <v>20</v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3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25" t="s">
        <v>260</v>
      </c>
      <c r="B211" s="11" t="s">
        <v>22</v>
      </c>
      <c r="C211" s="11" t="s">
        <v>23</v>
      </c>
      <c r="D211" s="11" t="s">
        <v>3</v>
      </c>
      <c r="E211" s="11" t="s">
        <v>4</v>
      </c>
      <c r="F211" s="11" t="s">
        <v>24</v>
      </c>
      <c r="G211" s="11" t="s">
        <v>25</v>
      </c>
      <c r="H211" s="11" t="s">
        <v>26</v>
      </c>
      <c r="I211" s="12" t="s">
        <v>27</v>
      </c>
      <c r="J211" s="11" t="s">
        <v>28</v>
      </c>
      <c r="K211" s="11" t="s">
        <v>29</v>
      </c>
      <c r="L211" s="11" t="s">
        <v>30</v>
      </c>
      <c r="M211" s="11" t="s">
        <v>31</v>
      </c>
      <c r="N211" s="11" t="s">
        <v>32</v>
      </c>
      <c r="O211" s="11" t="s">
        <v>33</v>
      </c>
      <c r="P211" s="11" t="s">
        <v>20</v>
      </c>
      <c r="Q211" s="11"/>
      <c r="R211" s="11"/>
      <c r="S211" s="11"/>
      <c r="T211" s="11" t="s">
        <v>34</v>
      </c>
      <c r="U211" s="11" t="s">
        <v>35</v>
      </c>
      <c r="V211" s="11" t="s">
        <v>36</v>
      </c>
      <c r="W211" s="11" t="s">
        <v>37</v>
      </c>
      <c r="X211" s="11" t="s">
        <v>38</v>
      </c>
      <c r="Y211" s="11" t="s">
        <v>39</v>
      </c>
      <c r="Z211" s="11" t="s">
        <v>40</v>
      </c>
      <c r="AA211" s="11" t="s">
        <v>41</v>
      </c>
      <c r="AB211" s="11" t="s">
        <v>42</v>
      </c>
      <c r="AC211" s="11" t="s">
        <v>43</v>
      </c>
      <c r="AD211" s="11" t="s">
        <v>44</v>
      </c>
      <c r="AE211" s="11" t="s">
        <v>45</v>
      </c>
      <c r="AF211" s="11" t="s">
        <v>46</v>
      </c>
      <c r="AG211" s="11" t="s">
        <v>47</v>
      </c>
      <c r="AH211" s="11" t="s">
        <v>48</v>
      </c>
      <c r="AI211" s="11" t="s">
        <v>49</v>
      </c>
      <c r="AJ211" s="11" t="s">
        <v>50</v>
      </c>
      <c r="AK211" s="13" t="s">
        <v>51</v>
      </c>
    </row>
    <row r="212" spans="1:50" x14ac:dyDescent="0.25">
      <c r="A212" t="s">
        <v>261</v>
      </c>
      <c r="B212" s="15">
        <v>159</v>
      </c>
      <c r="C212" s="15">
        <v>35</v>
      </c>
      <c r="D212" s="16">
        <v>0.48609999999999998</v>
      </c>
      <c r="E212" s="16">
        <v>0.44829999999999998</v>
      </c>
      <c r="F212" s="15">
        <v>0.51</v>
      </c>
      <c r="G212" s="15">
        <v>22.63</v>
      </c>
      <c r="H212" s="15">
        <v>18</v>
      </c>
      <c r="I212" s="17">
        <v>0</v>
      </c>
      <c r="J212" s="15">
        <v>8</v>
      </c>
      <c r="K212" s="15">
        <v>0</v>
      </c>
      <c r="L212" s="16">
        <v>0.69230000000000003</v>
      </c>
      <c r="M212" s="18">
        <v>0</v>
      </c>
      <c r="N212" s="16">
        <v>0.15870000000000001</v>
      </c>
      <c r="O212" s="16">
        <v>6.0600000000000001E-2</v>
      </c>
      <c r="P212" s="15">
        <v>4</v>
      </c>
      <c r="Q212" s="15"/>
      <c r="R212" s="15"/>
      <c r="S212" s="15"/>
      <c r="T212" s="15">
        <v>3</v>
      </c>
      <c r="U212" s="15">
        <v>0.2</v>
      </c>
      <c r="V212" s="15">
        <v>0.96</v>
      </c>
      <c r="W212" s="15"/>
      <c r="X212" s="19">
        <f>IF(B212=0,0,100*(C212+2*H212+3*I212)/B212)</f>
        <v>44.654088050314463</v>
      </c>
      <c r="Y212" s="19">
        <f>IF(C212=0,0,(J212+K212)/C212)</f>
        <v>0.22857142857142856</v>
      </c>
      <c r="Z212" s="19"/>
      <c r="AA212" s="19">
        <f>MAX(0,MIN(10,5+50*(D212-0.55)+25*(E212-F212)))</f>
        <v>0.26249999999999574</v>
      </c>
      <c r="AB212" s="19">
        <f>MAX(0,MIN(10,0.2*G212+5*Y212))</f>
        <v>5.6688571428571422</v>
      </c>
      <c r="AC212" s="19">
        <f t="shared" ref="AC212:AC231" si="168">MAX(0,MIN(10,X212/4))</f>
        <v>10</v>
      </c>
      <c r="AD212" s="19">
        <f>MAX(0,MIN(10,2+0.15*G212+4*Y212-0.03*((L212+M212)/2)))</f>
        <v>6.2984012142857146</v>
      </c>
      <c r="AE212" s="19">
        <f>MAX(0,MIN(10,0.15*N212+0.08*O212))</f>
        <v>2.8652999999999998E-2</v>
      </c>
      <c r="AF212" s="19"/>
      <c r="AG212" s="19"/>
      <c r="AH212" s="19">
        <f>MAX(0,MIN(10,P212/3.2-2*U212))</f>
        <v>0.85</v>
      </c>
      <c r="AI212" s="19">
        <f>10*(0.22*AA212+0.2*AB212+0.18*AC212+0.12*AD212+0.1*AE212+0.13*T212+0.05*AH212)</f>
        <v>41.826948742857127</v>
      </c>
      <c r="AJ212" s="19">
        <f>AI212*V212</f>
        <v>40.153870793142843</v>
      </c>
      <c r="AK212" s="20">
        <f>AJ212*(P212/200)</f>
        <v>0.80307741586285686</v>
      </c>
    </row>
    <row r="213" spans="1:50" x14ac:dyDescent="0.25">
      <c r="A213" t="s">
        <v>262</v>
      </c>
      <c r="B213" s="15">
        <v>279</v>
      </c>
      <c r="C213" s="15">
        <v>30</v>
      </c>
      <c r="D213" s="16">
        <v>0.45450000000000002</v>
      </c>
      <c r="E213" s="16">
        <v>0.375</v>
      </c>
      <c r="F213" s="15">
        <v>0.49</v>
      </c>
      <c r="G213" s="15">
        <v>14.11</v>
      </c>
      <c r="H213" s="15">
        <v>6</v>
      </c>
      <c r="I213" s="17">
        <v>9</v>
      </c>
      <c r="J213" s="15">
        <v>6</v>
      </c>
      <c r="K213" s="15">
        <v>0</v>
      </c>
      <c r="L213" s="18">
        <v>0.5</v>
      </c>
      <c r="M213" s="18">
        <v>1</v>
      </c>
      <c r="N213" s="16">
        <v>1.5900000000000001E-2</v>
      </c>
      <c r="O213" s="16">
        <v>9.7600000000000006E-2</v>
      </c>
      <c r="P213" s="15">
        <v>5.5</v>
      </c>
      <c r="Q213" s="15"/>
      <c r="R213" s="15"/>
      <c r="S213" s="15"/>
      <c r="T213" s="15">
        <v>4</v>
      </c>
      <c r="U213" s="15">
        <v>0.2</v>
      </c>
      <c r="V213" s="15">
        <v>0.97</v>
      </c>
      <c r="W213" s="15"/>
      <c r="X213" s="19">
        <f>IF(B213=0,0,100*(C213+2*H213+3*I213)/B213)</f>
        <v>24.731182795698924</v>
      </c>
      <c r="Y213" s="19">
        <f>IF(C213=0,0,(J213+K213)/C213)</f>
        <v>0.2</v>
      </c>
      <c r="Z213" s="19"/>
      <c r="AA213" s="19">
        <f>MAX(0,MIN(10,5+50*(D213-0.55)+25*(E213-F213)))</f>
        <v>0</v>
      </c>
      <c r="AB213" s="19">
        <f>MAX(0,MIN(10,0.2*G213+5*Y213))</f>
        <v>3.8220000000000001</v>
      </c>
      <c r="AC213" s="19">
        <f t="shared" si="168"/>
        <v>6.182795698924731</v>
      </c>
      <c r="AD213" s="19">
        <f>MAX(0,MIN(10,2+0.15*G213+4*Y213-0.03*((L213+M213)/2)))</f>
        <v>4.8940000000000001</v>
      </c>
      <c r="AE213" s="19">
        <f>MAX(0,MIN(10,0.15*N213+0.08*O213))</f>
        <v>1.0193000000000001E-2</v>
      </c>
      <c r="AF213" s="19"/>
      <c r="AG213" s="19"/>
      <c r="AH213" s="19">
        <f>MAX(0,MIN(10,P213/3.2-2*U213))</f>
        <v>1.3187500000000001</v>
      </c>
      <c r="AI213" s="19">
        <f>10*(0.22*AA213+0.2*AB213+0.18*AC213+0.12*AD213+0.1*AE213+0.13*T213+0.05*AH213)</f>
        <v>30.515400258064517</v>
      </c>
      <c r="AJ213" s="19">
        <f>AI213*V213</f>
        <v>29.59993825032258</v>
      </c>
      <c r="AK213" s="20">
        <f>AJ213*(P213/200)</f>
        <v>0.81399830188387101</v>
      </c>
    </row>
    <row r="214" spans="1:50" x14ac:dyDescent="0.25">
      <c r="A214" t="s">
        <v>263</v>
      </c>
      <c r="B214" s="15">
        <v>1056</v>
      </c>
      <c r="C214" s="15">
        <v>162</v>
      </c>
      <c r="D214" s="16">
        <v>0.53639999999999999</v>
      </c>
      <c r="E214" s="16">
        <v>0.51739999999999997</v>
      </c>
      <c r="F214" s="15">
        <v>0.53</v>
      </c>
      <c r="G214" s="15">
        <v>14.19</v>
      </c>
      <c r="H214" s="15">
        <v>94</v>
      </c>
      <c r="I214" s="17">
        <v>33</v>
      </c>
      <c r="J214" s="15">
        <v>22</v>
      </c>
      <c r="K214" s="15">
        <v>0</v>
      </c>
      <c r="L214" s="16">
        <v>0.81030000000000002</v>
      </c>
      <c r="M214" s="18">
        <v>1</v>
      </c>
      <c r="N214" s="16">
        <v>6.2100000000000002E-2</v>
      </c>
      <c r="O214" s="16">
        <v>0.1663</v>
      </c>
      <c r="P214" s="15">
        <v>17</v>
      </c>
      <c r="Q214" s="15"/>
      <c r="R214" s="15"/>
      <c r="S214" s="15"/>
      <c r="T214" s="15">
        <v>6</v>
      </c>
      <c r="U214" s="15">
        <v>0.2</v>
      </c>
      <c r="V214" s="15">
        <v>1</v>
      </c>
      <c r="W214" s="15"/>
      <c r="X214" s="19">
        <f>IF(B214=0,0,100*(C214+2*H214+3*I214)/B214)</f>
        <v>42.518939393939391</v>
      </c>
      <c r="Y214" s="19">
        <f>IF(C214=0,0,(J214+K214)/C214)</f>
        <v>0.13580246913580246</v>
      </c>
      <c r="Z214" s="19"/>
      <c r="AA214" s="19">
        <f>MAX(0,MIN(10,5+50*(D214-0.55)+25*(E214-F214)))</f>
        <v>4.0049999999999955</v>
      </c>
      <c r="AB214" s="19">
        <f>MAX(0,MIN(10,0.2*G214+5*Y214))</f>
        <v>3.5170123456790123</v>
      </c>
      <c r="AC214" s="19">
        <f t="shared" si="168"/>
        <v>10</v>
      </c>
      <c r="AD214" s="19">
        <f>MAX(0,MIN(10,2+0.15*G214+4*Y214-0.03*((L214+M214)/2)))</f>
        <v>4.6445553765432095</v>
      </c>
      <c r="AE214" s="19">
        <f>MAX(0,MIN(10,0.15*N214+0.08*O214))</f>
        <v>2.2619E-2</v>
      </c>
      <c r="AF214" s="19"/>
      <c r="AG214" s="19"/>
      <c r="AH214" s="19">
        <f>MAX(0,MIN(10,P214/3.2-2*U214))</f>
        <v>4.9124999999999996</v>
      </c>
      <c r="AI214" s="19">
        <f>10*(0.22*AA214+0.2*AB214+0.18*AC214+0.12*AD214+0.1*AE214+0.13*T214+0.05*AH214)</f>
        <v>49.697360143209863</v>
      </c>
      <c r="AJ214" s="19">
        <f>AI214*V214</f>
        <v>49.697360143209863</v>
      </c>
      <c r="AK214" s="20">
        <f>AJ214*(P214/200)</f>
        <v>4.2242756121728391</v>
      </c>
    </row>
    <row r="215" spans="1:50" x14ac:dyDescent="0.25">
      <c r="A215" t="s">
        <v>264</v>
      </c>
      <c r="B215" s="16">
        <v>0.65500000000000003</v>
      </c>
      <c r="C215" s="16">
        <v>0.59499999999999997</v>
      </c>
      <c r="D215" s="15">
        <v>7.0999999999999994E-2</v>
      </c>
      <c r="E215" s="15">
        <v>0.57099999999999995</v>
      </c>
      <c r="F215" s="16">
        <v>0.14899999999999999</v>
      </c>
      <c r="G215" s="16">
        <v>0.20300000000000001</v>
      </c>
      <c r="H215" s="16">
        <v>0.11899999999999999</v>
      </c>
      <c r="I215" s="23">
        <v>2.5999999999999999E-2</v>
      </c>
      <c r="J215" s="16">
        <v>0.04</v>
      </c>
      <c r="K215" s="18">
        <v>0.10100000000000001</v>
      </c>
      <c r="L215" s="16">
        <v>0.16900000000000001</v>
      </c>
      <c r="M215" s="15">
        <v>142.5</v>
      </c>
      <c r="N215" s="15">
        <v>74.599999999999994</v>
      </c>
      <c r="O215" s="15">
        <v>0.36499999999999999</v>
      </c>
      <c r="P215" s="15">
        <v>10.3</v>
      </c>
      <c r="Q215" s="15">
        <v>5.6</v>
      </c>
      <c r="R215" s="15">
        <v>15.9</v>
      </c>
      <c r="S215" s="15">
        <v>7</v>
      </c>
      <c r="T215" s="15">
        <v>7</v>
      </c>
      <c r="U215" s="15">
        <v>0.2</v>
      </c>
      <c r="V215" s="15">
        <v>0.95</v>
      </c>
      <c r="W215" s="15">
        <v>0.94</v>
      </c>
      <c r="X215" s="19">
        <f>MAX(0,MIN(100,0.45*M215+0.6*H215+0.35*L215-0.2*K215-15))</f>
        <v>49.235349999999997</v>
      </c>
      <c r="Y215" s="19">
        <f>MAX(0,MIN(1,0.012*L215+0.025*P215+0.3*E215+0.2*D215-0.18))</f>
        <v>0.26502799999999999</v>
      </c>
      <c r="Z215" s="19">
        <f>MAX(0,MIN(10,1+0.45*R215+30*O215+0.04*(M215-N215)))</f>
        <v>10</v>
      </c>
      <c r="AA215" s="19">
        <f>MAX(0,MIN(10,3+20*(B215-0.52)+15*(C215-0.5)+0.06*(M215-100)))</f>
        <v>9.6750000000000007</v>
      </c>
      <c r="AB215" s="19">
        <f>MAX(0,MIN(10,0.16*L215+0.55*P215+4*E215))</f>
        <v>7.9760400000000011</v>
      </c>
      <c r="AC215" s="19">
        <f>MAX(0,MIN(10,2+0.22*H215-0.12*K215+0.15*P215))</f>
        <v>3.5590600000000006</v>
      </c>
      <c r="AD215" s="19">
        <f>MAX(0,MIN(10,2+0.28*P215+0.1*L215+2*D215+1.5*E215))</f>
        <v>5.8994</v>
      </c>
      <c r="AE215" s="19">
        <f>MAX(0,MIN(10,0.18*F215+0.08*G215))</f>
        <v>4.3060000000000001E-2</v>
      </c>
      <c r="AF215" s="19">
        <f>MAX(0,MIN(10,4+0.3*Q215+0.6*I215+0.5*J215+0.03*(105-N215)))</f>
        <v>6.6275999999999993</v>
      </c>
      <c r="AG215" s="19">
        <f>0.6*AF215+0.4*T215</f>
        <v>6.7765599999999999</v>
      </c>
      <c r="AH215" s="19">
        <f>MAX(0,MIN(10,S215/3.2-2*U215))</f>
        <v>1.7875000000000001</v>
      </c>
      <c r="AI215" s="19">
        <f t="shared" ref="AI215:AI225" si="169">10*(0.18*Z215+0.17*AA215+0.15*AB215+0.14*AC215+0.1*AD215+0.08*AE215+0.1*AG215+0.08*AH215)</f>
        <v>65.534651999999994</v>
      </c>
      <c r="AJ215" s="19">
        <f>AI215*V215*W215</f>
        <v>58.522444235999991</v>
      </c>
      <c r="AK215" s="20">
        <f>AJ215*(P215/200)</f>
        <v>3.0139058781539996</v>
      </c>
    </row>
    <row r="216" spans="1:50" x14ac:dyDescent="0.25">
      <c r="A216" t="s">
        <v>265</v>
      </c>
      <c r="B216" s="16">
        <v>0.49399999999999999</v>
      </c>
      <c r="C216" s="16">
        <v>0.46899999999999997</v>
      </c>
      <c r="D216" s="15">
        <v>0.54200000000000004</v>
      </c>
      <c r="E216" s="15">
        <v>0.182</v>
      </c>
      <c r="F216" s="16">
        <v>4.5999999999999999E-2</v>
      </c>
      <c r="G216" s="16">
        <v>0.223</v>
      </c>
      <c r="H216" s="16">
        <v>0.17399999999999999</v>
      </c>
      <c r="I216" s="23">
        <v>3.5000000000000003E-2</v>
      </c>
      <c r="J216" s="16">
        <v>2.3E-2</v>
      </c>
      <c r="K216" s="18">
        <v>0.18099999999999999</v>
      </c>
      <c r="L216" s="16">
        <v>0.17599999999999999</v>
      </c>
      <c r="M216" s="15">
        <v>106.5</v>
      </c>
      <c r="N216" s="15">
        <v>81.7</v>
      </c>
      <c r="O216" s="15">
        <v>0.187</v>
      </c>
      <c r="P216" s="15">
        <v>6</v>
      </c>
      <c r="Q216" s="15">
        <v>6.3</v>
      </c>
      <c r="R216" s="15">
        <v>12.3</v>
      </c>
      <c r="S216" s="15">
        <v>8</v>
      </c>
      <c r="T216" s="15">
        <v>6</v>
      </c>
      <c r="U216" s="15">
        <v>0.2</v>
      </c>
      <c r="V216" s="15">
        <v>0.96</v>
      </c>
      <c r="W216" s="15">
        <v>0.95</v>
      </c>
      <c r="X216" s="19">
        <f>MAX(0,MIN(100,0.45*M216+0.6*H216+0.35*L216-0.2*K216-15))</f>
        <v>33.0548</v>
      </c>
      <c r="Y216" s="19">
        <f>MAX(0,MIN(1,0.012*L216+0.025*P216+0.3*E216+0.2*D216-0.18))</f>
        <v>0.13511200000000001</v>
      </c>
      <c r="Z216" s="19">
        <f>MAX(0,MIN(10,1+0.45*R216+30*O216+0.04*(M216-N216)))</f>
        <v>10</v>
      </c>
      <c r="AA216" s="19">
        <f>MAX(0,MIN(10,3+20*(B216-0.52)+15*(C216-0.5)+0.06*(M216-100)))</f>
        <v>2.4049999999999994</v>
      </c>
      <c r="AB216" s="19">
        <f>MAX(0,MIN(10,0.16*L216+0.55*P216+4*E216))</f>
        <v>4.0561600000000002</v>
      </c>
      <c r="AC216" s="19">
        <f>MAX(0,MIN(10,2+0.22*H216-0.12*K216+0.15*P216))</f>
        <v>2.9165599999999996</v>
      </c>
      <c r="AD216" s="19">
        <f>MAX(0,MIN(10,2+0.28*P216+0.1*L216+2*D216+1.5*E216))</f>
        <v>5.0545999999999998</v>
      </c>
      <c r="AE216" s="19">
        <f>MAX(0,MIN(10,0.18*F216+0.08*G216))</f>
        <v>2.6120000000000001E-2</v>
      </c>
      <c r="AF216" s="19">
        <f>MAX(0,MIN(10,4+0.3*Q216+0.6*I216+0.5*J216+0.03*(105-N216)))</f>
        <v>6.6214999999999993</v>
      </c>
      <c r="AG216" s="19">
        <f>0.6*AF216+0.4*T216</f>
        <v>6.3728999999999996</v>
      </c>
      <c r="AH216" s="19">
        <f>MAX(0,MIN(10,S216/3.2-2*U216))</f>
        <v>2.1</v>
      </c>
      <c r="AI216" s="19">
        <f t="shared" si="169"/>
        <v>45.384320000000002</v>
      </c>
      <c r="AJ216" s="19">
        <f>AI216*V216*W216</f>
        <v>41.390499840000004</v>
      </c>
      <c r="AK216" s="20">
        <f>AJ216*(P216/200)</f>
        <v>1.2417149952000002</v>
      </c>
    </row>
    <row r="217" spans="1:50" x14ac:dyDescent="0.25">
      <c r="A217" t="s">
        <v>266</v>
      </c>
      <c r="B217" s="16">
        <v>0.59899999999999998</v>
      </c>
      <c r="C217" s="16">
        <v>0.55800000000000005</v>
      </c>
      <c r="D217" s="15">
        <v>6.0000000000000001E-3</v>
      </c>
      <c r="E217" s="15">
        <v>0.57299999999999995</v>
      </c>
      <c r="F217" s="16">
        <v>0.107</v>
      </c>
      <c r="G217" s="16">
        <v>0.28399999999999997</v>
      </c>
      <c r="H217" s="16">
        <v>0.13800000000000001</v>
      </c>
      <c r="I217" s="23">
        <v>8.0000000000000002E-3</v>
      </c>
      <c r="J217" s="16">
        <v>2.5000000000000001E-2</v>
      </c>
      <c r="K217" s="18">
        <v>0.185</v>
      </c>
      <c r="L217" s="16">
        <v>0.27500000000000002</v>
      </c>
      <c r="M217" s="15">
        <v>110.4</v>
      </c>
      <c r="N217" s="15">
        <v>89.2</v>
      </c>
      <c r="O217" s="15">
        <v>0.23300000000000001</v>
      </c>
      <c r="P217" s="15">
        <v>6.9</v>
      </c>
      <c r="Q217" s="15">
        <v>2.1</v>
      </c>
      <c r="R217" s="15">
        <v>9.1</v>
      </c>
      <c r="S217" s="15">
        <v>8</v>
      </c>
      <c r="T217" s="15">
        <v>6.5</v>
      </c>
      <c r="U217" s="15">
        <v>0.2</v>
      </c>
      <c r="V217" s="15">
        <v>0.95</v>
      </c>
      <c r="W217" s="15">
        <v>0.94</v>
      </c>
      <c r="X217" s="19">
        <f t="shared" ref="X217:X225" si="170">MAX(0,MIN(100,0.45*M217+0.6*H217+0.35*L217-0.2*K217-15))</f>
        <v>34.822050000000004</v>
      </c>
      <c r="Y217" s="19">
        <f t="shared" ref="Y217:Y225" si="171">MAX(0,MIN(1,0.012*L217+0.025*P217+0.3*E217+0.2*D217-0.18))</f>
        <v>0.16889999999999999</v>
      </c>
      <c r="Z217" s="19">
        <f t="shared" ref="Z217:Z225" si="172">MAX(0,MIN(10,1+0.45*R217+30*O217+0.04*(M217-N217)))</f>
        <v>10</v>
      </c>
      <c r="AA217" s="19">
        <f t="shared" ref="AA217:AA225" si="173">MAX(0,MIN(10,3+20*(B217-0.52)+15*(C217-0.5)+0.06*(M217-100)))</f>
        <v>6.0740000000000007</v>
      </c>
      <c r="AB217" s="19">
        <f t="shared" ref="AB217:AB225" si="174">MAX(0,MIN(10,0.16*L217+0.55*P217+4*E217))</f>
        <v>6.1310000000000002</v>
      </c>
      <c r="AC217" s="19">
        <f t="shared" ref="AC217:AC225" si="175">MAX(0,MIN(10,2+0.22*H217-0.12*K217+0.15*P217))</f>
        <v>3.0431600000000003</v>
      </c>
      <c r="AD217" s="19">
        <f t="shared" ref="AD217:AD225" si="176">MAX(0,MIN(10,2+0.28*P217+0.1*L217+2*D217+1.5*E217))</f>
        <v>4.8310000000000004</v>
      </c>
      <c r="AE217" s="19">
        <f t="shared" ref="AE217:AE225" si="177">MAX(0,MIN(10,0.18*F217+0.08*G217))</f>
        <v>4.1979999999999996E-2</v>
      </c>
      <c r="AF217" s="19">
        <f t="shared" ref="AF217:AF225" si="178">MAX(0,MIN(10,4+0.3*Q217+0.6*I217+0.5*J217+0.03*(105-N217)))</f>
        <v>5.1213000000000006</v>
      </c>
      <c r="AG217" s="19">
        <f t="shared" ref="AG217:AG225" si="179">0.6*AF217+0.4*T217</f>
        <v>5.6727800000000004</v>
      </c>
      <c r="AH217" s="19">
        <f t="shared" ref="AH217:AH225" si="180">MAX(0,MIN(10,S217/3.2-2*U217))</f>
        <v>2.1</v>
      </c>
      <c r="AI217" s="19">
        <f t="shared" si="169"/>
        <v>54.000088000000005</v>
      </c>
      <c r="AJ217" s="19">
        <f t="shared" ref="AJ217:AJ225" si="181">AI217*V217*W217</f>
        <v>48.222078583999995</v>
      </c>
      <c r="AK217" s="20">
        <f t="shared" ref="AK217:AK225" si="182">AJ217*(P217/200)</f>
        <v>1.6636617111479999</v>
      </c>
    </row>
    <row r="218" spans="1:50" x14ac:dyDescent="0.25">
      <c r="A218" t="s">
        <v>267</v>
      </c>
      <c r="B218" s="16">
        <v>0.57299999999999995</v>
      </c>
      <c r="C218" s="16">
        <v>0.56699999999999995</v>
      </c>
      <c r="D218" s="15">
        <v>3.0000000000000001E-3</v>
      </c>
      <c r="E218" s="15">
        <v>0.24399999999999999</v>
      </c>
      <c r="F218" s="16">
        <v>0.09</v>
      </c>
      <c r="G218" s="16">
        <v>0.192</v>
      </c>
      <c r="H218" s="16">
        <v>0.12</v>
      </c>
      <c r="I218" s="23">
        <v>8.0000000000000002E-3</v>
      </c>
      <c r="J218" s="16">
        <v>4.8000000000000001E-2</v>
      </c>
      <c r="K218" s="18">
        <v>0.191</v>
      </c>
      <c r="L218" s="16">
        <v>0.249</v>
      </c>
      <c r="M218" s="15">
        <v>100.6</v>
      </c>
      <c r="N218" s="15">
        <v>89.8</v>
      </c>
      <c r="O218" s="15">
        <v>0.16</v>
      </c>
      <c r="P218" s="15">
        <v>3</v>
      </c>
      <c r="Q218" s="15">
        <v>2.8</v>
      </c>
      <c r="R218" s="15">
        <v>5.9</v>
      </c>
      <c r="S218" s="15">
        <v>5</v>
      </c>
      <c r="T218" s="15">
        <v>6</v>
      </c>
      <c r="U218" s="15">
        <v>0.2</v>
      </c>
      <c r="V218" s="15">
        <v>0.92</v>
      </c>
      <c r="W218" s="15">
        <v>0.9</v>
      </c>
      <c r="X218" s="19">
        <f t="shared" si="170"/>
        <v>30.390949999999997</v>
      </c>
      <c r="Y218" s="19">
        <f t="shared" si="171"/>
        <v>0</v>
      </c>
      <c r="Z218" s="19">
        <f t="shared" si="172"/>
        <v>8.8870000000000005</v>
      </c>
      <c r="AA218" s="19">
        <f t="shared" si="173"/>
        <v>5.1009999999999973</v>
      </c>
      <c r="AB218" s="19">
        <f t="shared" si="174"/>
        <v>2.6658400000000002</v>
      </c>
      <c r="AC218" s="19">
        <f t="shared" si="175"/>
        <v>2.4534799999999999</v>
      </c>
      <c r="AD218" s="19">
        <f t="shared" si="176"/>
        <v>3.2368999999999999</v>
      </c>
      <c r="AE218" s="19">
        <f t="shared" si="177"/>
        <v>3.1559999999999998E-2</v>
      </c>
      <c r="AF218" s="19">
        <f t="shared" si="178"/>
        <v>5.3248000000000006</v>
      </c>
      <c r="AG218" s="19">
        <f t="shared" si="179"/>
        <v>5.5948800000000007</v>
      </c>
      <c r="AH218" s="19">
        <f t="shared" si="180"/>
        <v>1.1625000000000001</v>
      </c>
      <c r="AI218" s="19">
        <f t="shared" si="169"/>
        <v>41.888960000000004</v>
      </c>
      <c r="AJ218" s="19">
        <f t="shared" si="181"/>
        <v>34.684058880000002</v>
      </c>
      <c r="AK218" s="20">
        <f t="shared" si="182"/>
        <v>0.52026088319999997</v>
      </c>
    </row>
    <row r="219" spans="1:50" x14ac:dyDescent="0.25">
      <c r="A219" t="s">
        <v>268</v>
      </c>
      <c r="B219" s="16">
        <v>0.60299999999999998</v>
      </c>
      <c r="C219" s="16">
        <v>0.58499999999999996</v>
      </c>
      <c r="D219" s="15">
        <v>0</v>
      </c>
      <c r="E219" s="15">
        <v>0.439</v>
      </c>
      <c r="F219" s="16">
        <v>0.11</v>
      </c>
      <c r="G219" s="16">
        <v>0.17</v>
      </c>
      <c r="H219" s="16">
        <v>7.0000000000000007E-2</v>
      </c>
      <c r="I219" s="23">
        <v>1.4999999999999999E-2</v>
      </c>
      <c r="J219" s="16">
        <v>4.4999999999999998E-2</v>
      </c>
      <c r="K219" s="18">
        <v>0.155</v>
      </c>
      <c r="L219" s="16">
        <v>0.22</v>
      </c>
      <c r="M219" s="15">
        <v>111</v>
      </c>
      <c r="N219" s="15">
        <v>82</v>
      </c>
      <c r="O219" s="15">
        <v>0.23</v>
      </c>
      <c r="P219" s="15">
        <v>5</v>
      </c>
      <c r="Q219" s="15">
        <v>5.8</v>
      </c>
      <c r="R219" s="15">
        <v>10.8</v>
      </c>
      <c r="S219" s="15">
        <v>9</v>
      </c>
      <c r="T219" s="15">
        <v>7</v>
      </c>
      <c r="U219" s="15">
        <v>0.2</v>
      </c>
      <c r="V219" s="15">
        <v>0.97</v>
      </c>
      <c r="W219" s="15">
        <v>0.96</v>
      </c>
      <c r="X219" s="19">
        <f t="shared" si="170"/>
        <v>35.038000000000004</v>
      </c>
      <c r="Y219" s="19">
        <f t="shared" si="171"/>
        <v>7.9340000000000022E-2</v>
      </c>
      <c r="Z219" s="19">
        <f t="shared" si="172"/>
        <v>10</v>
      </c>
      <c r="AA219" s="19">
        <f t="shared" si="173"/>
        <v>6.5949999999999989</v>
      </c>
      <c r="AB219" s="19">
        <f t="shared" si="174"/>
        <v>4.5411999999999999</v>
      </c>
      <c r="AC219" s="19">
        <f t="shared" si="175"/>
        <v>2.7468000000000004</v>
      </c>
      <c r="AD219" s="19">
        <f t="shared" si="176"/>
        <v>4.0804999999999998</v>
      </c>
      <c r="AE219" s="19">
        <f t="shared" si="177"/>
        <v>3.3399999999999999E-2</v>
      </c>
      <c r="AF219" s="19">
        <f t="shared" si="178"/>
        <v>6.4615000000000009</v>
      </c>
      <c r="AG219" s="19">
        <f t="shared" si="179"/>
        <v>6.6769000000000007</v>
      </c>
      <c r="AH219" s="19">
        <f t="shared" si="180"/>
        <v>2.4125000000000001</v>
      </c>
      <c r="AI219" s="19">
        <f t="shared" si="169"/>
        <v>52.582939999999994</v>
      </c>
      <c r="AJ219" s="19">
        <f t="shared" si="181"/>
        <v>48.965233727999994</v>
      </c>
      <c r="AK219" s="20">
        <f t="shared" si="182"/>
        <v>1.2241308432</v>
      </c>
    </row>
    <row r="220" spans="1:50" x14ac:dyDescent="0.25">
      <c r="A220" t="s">
        <v>269</v>
      </c>
      <c r="B220" s="16">
        <v>0.45700000000000002</v>
      </c>
      <c r="C220" s="16">
        <v>0.41399999999999998</v>
      </c>
      <c r="D220" s="15">
        <v>0.51400000000000001</v>
      </c>
      <c r="E220" s="15">
        <v>0.14299999999999999</v>
      </c>
      <c r="F220" s="16">
        <v>1.4999999999999999E-2</v>
      </c>
      <c r="G220" s="16">
        <v>0.05</v>
      </c>
      <c r="H220" s="16">
        <v>0.22</v>
      </c>
      <c r="I220" s="23">
        <v>0.01</v>
      </c>
      <c r="J220" s="16">
        <v>0</v>
      </c>
      <c r="K220" s="18">
        <v>0.13</v>
      </c>
      <c r="L220" s="16">
        <v>0.14499999999999999</v>
      </c>
      <c r="M220" s="15">
        <v>96</v>
      </c>
      <c r="N220" s="15">
        <v>82</v>
      </c>
      <c r="O220" s="15">
        <v>0.13</v>
      </c>
      <c r="P220" s="15">
        <v>2.5</v>
      </c>
      <c r="Q220" s="15">
        <v>4.5</v>
      </c>
      <c r="R220" s="15">
        <v>7</v>
      </c>
      <c r="S220" s="15">
        <v>6</v>
      </c>
      <c r="T220" s="15">
        <v>6</v>
      </c>
      <c r="U220" s="15">
        <v>0.2</v>
      </c>
      <c r="V220" s="15">
        <v>0.93</v>
      </c>
      <c r="W220" s="15">
        <v>0.92</v>
      </c>
      <c r="X220" s="19">
        <f t="shared" si="170"/>
        <v>28.356749999999998</v>
      </c>
      <c r="Y220" s="19">
        <f t="shared" si="171"/>
        <v>2.9940000000000022E-2</v>
      </c>
      <c r="Z220" s="19">
        <f t="shared" si="172"/>
        <v>8.6100000000000012</v>
      </c>
      <c r="AA220" s="19">
        <f t="shared" si="173"/>
        <v>0.20999999999999974</v>
      </c>
      <c r="AB220" s="19">
        <f t="shared" si="174"/>
        <v>1.9702000000000002</v>
      </c>
      <c r="AC220" s="19">
        <f t="shared" si="175"/>
        <v>2.4077999999999999</v>
      </c>
      <c r="AD220" s="19">
        <f t="shared" si="176"/>
        <v>3.9570000000000003</v>
      </c>
      <c r="AE220" s="19">
        <f t="shared" si="177"/>
        <v>6.6999999999999994E-3</v>
      </c>
      <c r="AF220" s="19">
        <f t="shared" si="178"/>
        <v>6.0459999999999994</v>
      </c>
      <c r="AG220" s="19">
        <f t="shared" si="179"/>
        <v>6.0275999999999996</v>
      </c>
      <c r="AH220" s="19">
        <f t="shared" si="180"/>
        <v>1.4750000000000001</v>
      </c>
      <c r="AI220" s="19">
        <f t="shared" si="169"/>
        <v>33.351179999999999</v>
      </c>
      <c r="AJ220" s="19">
        <f t="shared" si="181"/>
        <v>28.535269608000004</v>
      </c>
      <c r="AK220" s="20">
        <f t="shared" si="182"/>
        <v>0.35669087010000006</v>
      </c>
    </row>
    <row r="221" spans="1:50" x14ac:dyDescent="0.25">
      <c r="A221" t="s">
        <v>270</v>
      </c>
      <c r="B221" s="16">
        <v>0.57099999999999995</v>
      </c>
      <c r="C221" s="16">
        <v>0.51200000000000001</v>
      </c>
      <c r="D221" s="15">
        <v>0.26200000000000001</v>
      </c>
      <c r="E221" s="15">
        <v>0.42899999999999999</v>
      </c>
      <c r="F221" s="16">
        <v>2.5000000000000001E-2</v>
      </c>
      <c r="G221" s="16">
        <v>0.16</v>
      </c>
      <c r="H221" s="16">
        <v>0.16500000000000001</v>
      </c>
      <c r="I221" s="23">
        <v>3.2000000000000001E-2</v>
      </c>
      <c r="J221" s="16">
        <v>1.0999999999999999E-2</v>
      </c>
      <c r="K221" s="18">
        <v>0.128</v>
      </c>
      <c r="L221" s="16">
        <v>0.21</v>
      </c>
      <c r="M221" s="15">
        <v>109</v>
      </c>
      <c r="N221" s="15">
        <v>83</v>
      </c>
      <c r="O221" s="15">
        <v>0.21</v>
      </c>
      <c r="P221" s="15">
        <v>5.8</v>
      </c>
      <c r="Q221" s="15">
        <v>4.8</v>
      </c>
      <c r="R221" s="15">
        <v>10.6</v>
      </c>
      <c r="S221" s="15">
        <v>8</v>
      </c>
      <c r="T221" s="15">
        <v>6</v>
      </c>
      <c r="U221" s="15">
        <v>0.2</v>
      </c>
      <c r="V221" s="15">
        <v>0.97</v>
      </c>
      <c r="W221" s="15">
        <v>0.96</v>
      </c>
      <c r="X221" s="19">
        <f t="shared" si="170"/>
        <v>34.196900000000007</v>
      </c>
      <c r="Y221" s="19">
        <f t="shared" si="171"/>
        <v>0.14861999999999997</v>
      </c>
      <c r="Z221" s="19">
        <f t="shared" si="172"/>
        <v>10</v>
      </c>
      <c r="AA221" s="19">
        <f t="shared" si="173"/>
        <v>4.7399999999999993</v>
      </c>
      <c r="AB221" s="19">
        <f t="shared" si="174"/>
        <v>4.9395999999999995</v>
      </c>
      <c r="AC221" s="19">
        <f t="shared" si="175"/>
        <v>2.8909400000000001</v>
      </c>
      <c r="AD221" s="19">
        <f t="shared" si="176"/>
        <v>4.8125</v>
      </c>
      <c r="AE221" s="19">
        <f t="shared" si="177"/>
        <v>1.7299999999999999E-2</v>
      </c>
      <c r="AF221" s="19">
        <f t="shared" si="178"/>
        <v>6.1246999999999989</v>
      </c>
      <c r="AG221" s="19">
        <f t="shared" si="179"/>
        <v>6.074819999999999</v>
      </c>
      <c r="AH221" s="19">
        <f t="shared" si="180"/>
        <v>2.1</v>
      </c>
      <c r="AI221" s="19">
        <f t="shared" si="169"/>
        <v>50.095875999999997</v>
      </c>
      <c r="AJ221" s="19">
        <f t="shared" si="181"/>
        <v>46.649279731199996</v>
      </c>
      <c r="AK221" s="20">
        <f t="shared" si="182"/>
        <v>1.3528291122047997</v>
      </c>
    </row>
    <row r="222" spans="1:50" x14ac:dyDescent="0.25">
      <c r="A222" t="s">
        <v>271</v>
      </c>
      <c r="B222" s="16">
        <v>0.59899999999999998</v>
      </c>
      <c r="C222" s="16">
        <v>0.55900000000000005</v>
      </c>
      <c r="D222" s="15">
        <v>0.47799999999999998</v>
      </c>
      <c r="E222" s="15">
        <v>0.30099999999999999</v>
      </c>
      <c r="F222" s="16">
        <v>3.1E-2</v>
      </c>
      <c r="G222" s="16">
        <v>0.13700000000000001</v>
      </c>
      <c r="H222" s="16">
        <v>0.11799999999999999</v>
      </c>
      <c r="I222" s="23">
        <v>0.01</v>
      </c>
      <c r="J222" s="16">
        <v>6.0000000000000001E-3</v>
      </c>
      <c r="K222" s="18">
        <v>0.16800000000000001</v>
      </c>
      <c r="L222" s="16">
        <v>0.26</v>
      </c>
      <c r="M222" s="15">
        <v>106.4</v>
      </c>
      <c r="N222" s="15">
        <v>96.3</v>
      </c>
      <c r="O222" s="15">
        <v>0.16300000000000001</v>
      </c>
      <c r="P222" s="15">
        <v>6.1</v>
      </c>
      <c r="Q222" s="15">
        <v>0.8</v>
      </c>
      <c r="R222" s="15">
        <v>6.8</v>
      </c>
      <c r="S222" s="15">
        <v>4</v>
      </c>
      <c r="T222" s="15">
        <v>4.5</v>
      </c>
      <c r="U222" s="15">
        <v>0.2</v>
      </c>
      <c r="V222" s="15">
        <v>0.92</v>
      </c>
      <c r="W222" s="15">
        <v>0.88</v>
      </c>
      <c r="X222" s="19">
        <f t="shared" si="170"/>
        <v>33.008200000000002</v>
      </c>
      <c r="Y222" s="19">
        <f t="shared" si="171"/>
        <v>0.16152</v>
      </c>
      <c r="Z222" s="19">
        <f t="shared" si="172"/>
        <v>9.354000000000001</v>
      </c>
      <c r="AA222" s="19">
        <f t="shared" si="173"/>
        <v>5.8490000000000002</v>
      </c>
      <c r="AB222" s="19">
        <f t="shared" si="174"/>
        <v>4.6006</v>
      </c>
      <c r="AC222" s="19">
        <f t="shared" si="175"/>
        <v>2.9207999999999998</v>
      </c>
      <c r="AD222" s="19">
        <f t="shared" si="176"/>
        <v>5.1414999999999997</v>
      </c>
      <c r="AE222" s="19">
        <f t="shared" si="177"/>
        <v>1.6539999999999999E-2</v>
      </c>
      <c r="AF222" s="19">
        <f t="shared" si="178"/>
        <v>4.5100000000000007</v>
      </c>
      <c r="AG222" s="19">
        <f t="shared" si="179"/>
        <v>4.5060000000000002</v>
      </c>
      <c r="AH222" s="19">
        <f t="shared" si="180"/>
        <v>0.85</v>
      </c>
      <c r="AI222" s="19">
        <f t="shared" si="169"/>
        <v>48.111251999999993</v>
      </c>
      <c r="AJ222" s="19">
        <f t="shared" si="181"/>
        <v>38.950869619199992</v>
      </c>
      <c r="AK222" s="20">
        <f t="shared" si="182"/>
        <v>1.1880015233855996</v>
      </c>
    </row>
    <row r="223" spans="1:50" x14ac:dyDescent="0.25">
      <c r="A223" t="s">
        <v>272</v>
      </c>
      <c r="B223" s="16">
        <v>0.44900000000000001</v>
      </c>
      <c r="C223" s="16">
        <v>0.4</v>
      </c>
      <c r="D223" s="15">
        <v>0.112</v>
      </c>
      <c r="E223" s="15">
        <v>0.24299999999999999</v>
      </c>
      <c r="F223" s="16">
        <v>5.8999999999999997E-2</v>
      </c>
      <c r="G223" s="16">
        <v>0.222</v>
      </c>
      <c r="H223" s="16">
        <v>0.20300000000000001</v>
      </c>
      <c r="I223" s="23">
        <v>2.1999999999999999E-2</v>
      </c>
      <c r="J223" s="16">
        <v>1.0999999999999999E-2</v>
      </c>
      <c r="K223" s="18">
        <v>0.15</v>
      </c>
      <c r="L223" s="16">
        <v>0.23100000000000001</v>
      </c>
      <c r="M223" s="15">
        <v>99.9</v>
      </c>
      <c r="N223" s="15">
        <v>85.3</v>
      </c>
      <c r="O223" s="15">
        <v>0.17399999999999999</v>
      </c>
      <c r="P223" s="15">
        <v>3.9</v>
      </c>
      <c r="Q223" s="15">
        <v>4.4000000000000004</v>
      </c>
      <c r="R223" s="15">
        <v>8.4</v>
      </c>
      <c r="S223" s="15">
        <v>10</v>
      </c>
      <c r="T223" s="15">
        <v>5.5</v>
      </c>
      <c r="U223" s="15">
        <v>0.2</v>
      </c>
      <c r="V223" s="15">
        <v>0.98</v>
      </c>
      <c r="W223" s="15">
        <v>0.96</v>
      </c>
      <c r="X223" s="19">
        <f t="shared" si="170"/>
        <v>30.127650000000003</v>
      </c>
      <c r="Y223" s="19">
        <f t="shared" si="171"/>
        <v>1.5572000000000003E-2</v>
      </c>
      <c r="Z223" s="19">
        <f t="shared" si="172"/>
        <v>10</v>
      </c>
      <c r="AA223" s="19">
        <f t="shared" si="173"/>
        <v>7.4000000000000635E-2</v>
      </c>
      <c r="AB223" s="19">
        <f t="shared" si="174"/>
        <v>3.1539600000000001</v>
      </c>
      <c r="AC223" s="19">
        <f t="shared" si="175"/>
        <v>2.6116600000000001</v>
      </c>
      <c r="AD223" s="19">
        <f t="shared" si="176"/>
        <v>3.7036000000000002</v>
      </c>
      <c r="AE223" s="19">
        <f t="shared" si="177"/>
        <v>2.8380000000000002E-2</v>
      </c>
      <c r="AF223" s="19">
        <f t="shared" si="178"/>
        <v>5.9297000000000004</v>
      </c>
      <c r="AG223" s="19">
        <f t="shared" si="179"/>
        <v>5.7578200000000006</v>
      </c>
      <c r="AH223" s="19">
        <f t="shared" si="180"/>
        <v>2.7250000000000001</v>
      </c>
      <c r="AI223" s="19">
        <f t="shared" si="169"/>
        <v>38.177188000000001</v>
      </c>
      <c r="AJ223" s="19">
        <f t="shared" si="181"/>
        <v>35.917098470399999</v>
      </c>
      <c r="AK223" s="20">
        <f t="shared" si="182"/>
        <v>0.70038342017279998</v>
      </c>
    </row>
    <row r="224" spans="1:50" x14ac:dyDescent="0.25">
      <c r="A224" t="s">
        <v>273</v>
      </c>
      <c r="B224" s="16">
        <v>0.54900000000000004</v>
      </c>
      <c r="C224" s="16">
        <v>0.48899999999999999</v>
      </c>
      <c r="D224" s="15">
        <v>4.0000000000000001E-3</v>
      </c>
      <c r="E224" s="15">
        <v>0.51500000000000001</v>
      </c>
      <c r="F224" s="16">
        <v>7.4999999999999997E-2</v>
      </c>
      <c r="G224" s="16">
        <v>0.14299999999999999</v>
      </c>
      <c r="H224" s="16">
        <v>0.151</v>
      </c>
      <c r="I224" s="23">
        <v>2.1000000000000001E-2</v>
      </c>
      <c r="J224" s="16">
        <v>3.4000000000000002E-2</v>
      </c>
      <c r="K224" s="18">
        <v>0.19500000000000001</v>
      </c>
      <c r="L224" s="16">
        <v>0.23200000000000001</v>
      </c>
      <c r="M224" s="15">
        <v>103.8</v>
      </c>
      <c r="N224" s="15">
        <v>88.2</v>
      </c>
      <c r="O224" s="15">
        <v>0.18099999999999999</v>
      </c>
      <c r="P224" s="15">
        <v>3.1</v>
      </c>
      <c r="Q224" s="15">
        <v>3.7</v>
      </c>
      <c r="R224" s="15">
        <v>6.8</v>
      </c>
      <c r="S224" s="15">
        <v>6</v>
      </c>
      <c r="T224" s="15">
        <v>6.5</v>
      </c>
      <c r="U224" s="15">
        <v>0.2</v>
      </c>
      <c r="V224" s="15">
        <v>0.93</v>
      </c>
      <c r="W224" s="15">
        <v>0.91</v>
      </c>
      <c r="X224" s="19">
        <f t="shared" si="170"/>
        <v>31.842800000000004</v>
      </c>
      <c r="Y224" s="19">
        <f t="shared" si="171"/>
        <v>5.5583999999999995E-2</v>
      </c>
      <c r="Z224" s="19">
        <f t="shared" si="172"/>
        <v>10</v>
      </c>
      <c r="AA224" s="19">
        <f t="shared" si="173"/>
        <v>3.6430000000000002</v>
      </c>
      <c r="AB224" s="19">
        <f t="shared" si="174"/>
        <v>3.8021200000000004</v>
      </c>
      <c r="AC224" s="19">
        <f t="shared" si="175"/>
        <v>2.4748199999999998</v>
      </c>
      <c r="AD224" s="19">
        <f t="shared" si="176"/>
        <v>3.6717000000000004</v>
      </c>
      <c r="AE224" s="19">
        <f t="shared" si="177"/>
        <v>2.4939999999999997E-2</v>
      </c>
      <c r="AF224" s="19">
        <f t="shared" si="178"/>
        <v>5.6436000000000002</v>
      </c>
      <c r="AG224" s="19">
        <f t="shared" si="179"/>
        <v>5.9861599999999999</v>
      </c>
      <c r="AH224" s="19">
        <f t="shared" si="180"/>
        <v>1.4750000000000001</v>
      </c>
      <c r="AI224" s="19">
        <f t="shared" si="169"/>
        <v>44.21884</v>
      </c>
      <c r="AJ224" s="19">
        <f t="shared" si="181"/>
        <v>37.422404292000003</v>
      </c>
      <c r="AK224" s="20">
        <f t="shared" si="182"/>
        <v>0.58004726652600003</v>
      </c>
    </row>
    <row r="225" spans="1:50" x14ac:dyDescent="0.25">
      <c r="A225" t="s">
        <v>274</v>
      </c>
      <c r="B225" s="16">
        <v>0.45500000000000002</v>
      </c>
      <c r="C225" s="16">
        <v>0.435</v>
      </c>
      <c r="D225" s="15">
        <v>0.32600000000000001</v>
      </c>
      <c r="E225" s="15">
        <v>0.127</v>
      </c>
      <c r="F225" s="16">
        <v>4.9000000000000002E-2</v>
      </c>
      <c r="G225" s="16">
        <v>6.7000000000000004E-2</v>
      </c>
      <c r="H225" s="16">
        <v>0.16</v>
      </c>
      <c r="I225" s="23">
        <v>1.7000000000000001E-2</v>
      </c>
      <c r="J225" s="16">
        <v>0.01</v>
      </c>
      <c r="K225" s="18">
        <v>0.17100000000000001</v>
      </c>
      <c r="L225" s="16">
        <v>0.221</v>
      </c>
      <c r="M225" s="15">
        <v>95.4</v>
      </c>
      <c r="N225" s="15">
        <v>87</v>
      </c>
      <c r="O225" s="15">
        <v>0.13700000000000001</v>
      </c>
      <c r="P225" s="15">
        <v>2.4</v>
      </c>
      <c r="Q225" s="15">
        <v>4.0999999999999996</v>
      </c>
      <c r="R225" s="15">
        <v>6.5</v>
      </c>
      <c r="S225" s="15">
        <v>7</v>
      </c>
      <c r="T225" s="15">
        <v>5.5</v>
      </c>
      <c r="U225" s="15">
        <v>0.2</v>
      </c>
      <c r="V225" s="15">
        <v>0.95</v>
      </c>
      <c r="W225" s="15">
        <v>0.93</v>
      </c>
      <c r="X225" s="19">
        <f t="shared" si="170"/>
        <v>28.069150000000008</v>
      </c>
      <c r="Y225" s="19">
        <f t="shared" si="171"/>
        <v>0</v>
      </c>
      <c r="Z225" s="19">
        <f t="shared" si="172"/>
        <v>8.3710000000000004</v>
      </c>
      <c r="AA225" s="19">
        <f t="shared" si="173"/>
        <v>0.44900000000000023</v>
      </c>
      <c r="AB225" s="19">
        <f t="shared" si="174"/>
        <v>1.8633600000000001</v>
      </c>
      <c r="AC225" s="19">
        <f t="shared" si="175"/>
        <v>2.3746800000000001</v>
      </c>
      <c r="AD225" s="19">
        <f t="shared" si="176"/>
        <v>3.5366000000000004</v>
      </c>
      <c r="AE225" s="19">
        <f t="shared" si="177"/>
        <v>1.418E-2</v>
      </c>
      <c r="AF225" s="19">
        <f t="shared" si="178"/>
        <v>5.7851999999999997</v>
      </c>
      <c r="AG225" s="19">
        <f t="shared" si="179"/>
        <v>5.6711200000000002</v>
      </c>
      <c r="AH225" s="19">
        <f t="shared" si="180"/>
        <v>1.7875000000000001</v>
      </c>
      <c r="AI225" s="19">
        <f t="shared" si="169"/>
        <v>32.599755999999999</v>
      </c>
      <c r="AJ225" s="19">
        <f t="shared" si="181"/>
        <v>28.801884425999997</v>
      </c>
      <c r="AK225" s="20">
        <f t="shared" si="182"/>
        <v>0.34562261311199999</v>
      </c>
    </row>
    <row r="226" spans="1:50" x14ac:dyDescent="0.25">
      <c r="A226" t="s">
        <v>275</v>
      </c>
      <c r="B226" s="15">
        <v>276</v>
      </c>
      <c r="C226" s="15">
        <v>38</v>
      </c>
      <c r="D226" s="16">
        <v>0.57579999999999998</v>
      </c>
      <c r="E226" s="16">
        <v>0.5</v>
      </c>
      <c r="F226" s="15">
        <v>0.45</v>
      </c>
      <c r="G226" s="15">
        <v>13.88</v>
      </c>
      <c r="H226" s="15">
        <v>20</v>
      </c>
      <c r="I226" s="17">
        <v>3</v>
      </c>
      <c r="J226" s="15">
        <v>4</v>
      </c>
      <c r="K226" s="15">
        <v>0</v>
      </c>
      <c r="L226" s="16">
        <v>0.83330000000000004</v>
      </c>
      <c r="M226" s="18">
        <v>1</v>
      </c>
      <c r="N226" s="16">
        <v>0.1212</v>
      </c>
      <c r="O226" s="16">
        <v>0.129</v>
      </c>
      <c r="P226" s="15">
        <v>9</v>
      </c>
      <c r="Q226" s="15"/>
      <c r="R226" s="15"/>
      <c r="S226" s="15"/>
      <c r="T226" s="15">
        <v>6</v>
      </c>
      <c r="U226" s="15">
        <v>0.2</v>
      </c>
      <c r="V226" s="15">
        <v>1</v>
      </c>
      <c r="W226" s="15"/>
      <c r="X226" s="19">
        <f>IF(B226=0,0,100*(C226+2*H226+3*I226)/B226)</f>
        <v>31.521739130434781</v>
      </c>
      <c r="Y226" s="19">
        <f>IF(C226=0,0,(J226+K226)/C226)</f>
        <v>0.10526315789473684</v>
      </c>
      <c r="Z226" s="19"/>
      <c r="AA226" s="19">
        <f>MAX(0,MIN(10,5+50*(D226-0.55)+25*(E226-F226)))</f>
        <v>7.5399999999999965</v>
      </c>
      <c r="AB226" s="19">
        <f>MAX(0,MIN(10,0.2*G226+5*Y226))</f>
        <v>3.3023157894736843</v>
      </c>
      <c r="AC226" s="19">
        <f t="shared" ref="AC226:AC230" si="183">MAX(0,MIN(10,X226/4))</f>
        <v>7.8804347826086953</v>
      </c>
      <c r="AD226" s="19">
        <f>MAX(0,MIN(10,2+0.15*G226+4*Y226-0.03*((L226+M226)/2)))</f>
        <v>4.4755531315789474</v>
      </c>
      <c r="AE226" s="19">
        <f>MAX(0,MIN(10,0.15*N226+0.08*O226))</f>
        <v>2.8499999999999998E-2</v>
      </c>
      <c r="AF226" s="19"/>
      <c r="AG226" s="19"/>
      <c r="AH226" s="19">
        <f>MAX(0,MIN(10,P226/3.2-2*U226))</f>
        <v>2.4125000000000001</v>
      </c>
      <c r="AI226" s="19">
        <f>10*(0.22*AA226+0.2*AB226+0.18*AC226+0.12*AD226+0.1*AE226+0.13*T226+0.05*AH226)</f>
        <v>51.782827945537747</v>
      </c>
      <c r="AJ226" s="19">
        <f>AI226*V226</f>
        <v>51.782827945537747</v>
      </c>
      <c r="AK226" s="20">
        <f>AJ226*(P226/200)</f>
        <v>2.3302272575491987</v>
      </c>
    </row>
    <row r="227" spans="1:50" x14ac:dyDescent="0.25">
      <c r="A227" t="s">
        <v>276</v>
      </c>
      <c r="B227" s="15">
        <v>2089</v>
      </c>
      <c r="C227" s="15">
        <v>500</v>
      </c>
      <c r="D227" s="16">
        <v>0.58960000000000001</v>
      </c>
      <c r="E227" s="16">
        <v>0.56079999999999997</v>
      </c>
      <c r="F227" s="15">
        <v>0.52</v>
      </c>
      <c r="G227" s="15">
        <v>21.42</v>
      </c>
      <c r="H227" s="15">
        <v>258</v>
      </c>
      <c r="I227" s="17">
        <v>18</v>
      </c>
      <c r="J227" s="15">
        <v>130</v>
      </c>
      <c r="K227" s="15">
        <v>0</v>
      </c>
      <c r="L227" s="16">
        <v>0.66490000000000005</v>
      </c>
      <c r="M227" s="18">
        <v>1</v>
      </c>
      <c r="N227" s="16">
        <v>9.4E-2</v>
      </c>
      <c r="O227" s="16">
        <v>0.1938</v>
      </c>
      <c r="P227" s="15">
        <v>26</v>
      </c>
      <c r="Q227" s="15"/>
      <c r="R227" s="15"/>
      <c r="S227" s="15"/>
      <c r="T227" s="15">
        <v>8</v>
      </c>
      <c r="U227" s="15">
        <v>0.2</v>
      </c>
      <c r="V227" s="15">
        <v>1.01</v>
      </c>
      <c r="W227" s="15"/>
      <c r="X227" s="19">
        <f>IF(B227=0,0,100*(C227+2*H227+3*I227)/B227)</f>
        <v>51.220679751077071</v>
      </c>
      <c r="Y227" s="19">
        <f>IF(C227=0,0,(J227+K227)/C227)</f>
        <v>0.26</v>
      </c>
      <c r="Z227" s="19"/>
      <c r="AA227" s="19">
        <f>MAX(0,MIN(10,5+50*(D227-0.55)+25*(E227-F227)))</f>
        <v>7.9999999999999973</v>
      </c>
      <c r="AB227" s="19">
        <f>MAX(0,MIN(10,0.2*G227+5*Y227))</f>
        <v>5.5840000000000005</v>
      </c>
      <c r="AC227" s="19">
        <f t="shared" si="183"/>
        <v>10</v>
      </c>
      <c r="AD227" s="19">
        <f>MAX(0,MIN(10,2+0.15*G227+4*Y227-0.03*((L227+M227)/2)))</f>
        <v>6.2280265000000004</v>
      </c>
      <c r="AE227" s="19">
        <f>MAX(0,MIN(10,0.15*N227+0.08*O227))</f>
        <v>2.9603999999999998E-2</v>
      </c>
      <c r="AF227" s="19"/>
      <c r="AG227" s="19"/>
      <c r="AH227" s="19">
        <f>MAX(0,MIN(10,P227/3.2-2*U227))</f>
        <v>7.7249999999999996</v>
      </c>
      <c r="AI227" s="19">
        <f>10*(0.22*AA227+0.2*AB227+0.18*AC227+0.12*AD227+0.1*AE227+0.13*T227+0.05*AH227)</f>
        <v>68.533735799999988</v>
      </c>
      <c r="AJ227" s="19">
        <f>AI227*V227</f>
        <v>69.219073157999986</v>
      </c>
      <c r="AK227" s="20">
        <f>AJ227*(P227/200)</f>
        <v>8.9984795105399993</v>
      </c>
    </row>
    <row r="228" spans="1:50" x14ac:dyDescent="0.25">
      <c r="A228" t="s">
        <v>277</v>
      </c>
      <c r="B228" s="15">
        <v>2435</v>
      </c>
      <c r="C228" s="15">
        <v>599</v>
      </c>
      <c r="D228" s="16">
        <v>0.49590000000000001</v>
      </c>
      <c r="E228" s="16">
        <v>0.4768</v>
      </c>
      <c r="F228" s="15">
        <v>0.45</v>
      </c>
      <c r="G228" s="15">
        <v>25.63</v>
      </c>
      <c r="H228" s="15">
        <v>148</v>
      </c>
      <c r="I228" s="17">
        <v>126</v>
      </c>
      <c r="J228" s="15">
        <v>232</v>
      </c>
      <c r="K228" s="15">
        <v>48</v>
      </c>
      <c r="L228" s="16">
        <v>0.38950000000000001</v>
      </c>
      <c r="M228" s="18">
        <v>0.72409999999999997</v>
      </c>
      <c r="N228" s="16">
        <v>2.0500000000000001E-2</v>
      </c>
      <c r="O228" s="16">
        <v>0.1608</v>
      </c>
      <c r="P228" s="15">
        <v>32</v>
      </c>
      <c r="Q228" s="15"/>
      <c r="R228" s="15"/>
      <c r="S228" s="15"/>
      <c r="T228" s="15">
        <v>7</v>
      </c>
      <c r="U228" s="15">
        <v>0.2</v>
      </c>
      <c r="V228" s="15">
        <v>1.05</v>
      </c>
      <c r="W228" s="15"/>
      <c r="X228" s="19">
        <f>IF(B228=0,0,100*(C228+2*H228+3*I228)/B228)</f>
        <v>52.279260780287473</v>
      </c>
      <c r="Y228" s="19">
        <f>IF(C228=0,0,(J228+K228)/C228)</f>
        <v>0.46744574290484142</v>
      </c>
      <c r="Z228" s="19"/>
      <c r="AA228" s="19">
        <f>MAX(0,MIN(10,5+50*(D228-0.55)+25*(E228-F228)))</f>
        <v>2.9649999999999981</v>
      </c>
      <c r="AB228" s="19">
        <f>MAX(0,MIN(10,0.2*G228+5*Y228))</f>
        <v>7.4632287145242078</v>
      </c>
      <c r="AC228" s="19">
        <f t="shared" si="183"/>
        <v>10</v>
      </c>
      <c r="AD228" s="19">
        <f>MAX(0,MIN(10,2+0.15*G228+4*Y228-0.03*((L228+M228)/2)))</f>
        <v>7.6975789716193654</v>
      </c>
      <c r="AE228" s="19">
        <f>MAX(0,MIN(10,0.15*N228+0.08*O228))</f>
        <v>1.5939000000000002E-2</v>
      </c>
      <c r="AF228" s="19"/>
      <c r="AG228" s="19"/>
      <c r="AH228" s="19">
        <f>MAX(0,MIN(10,P228/3.2-2*U228))</f>
        <v>9.6</v>
      </c>
      <c r="AI228" s="19">
        <f>10*(0.22*AA228+0.2*AB228+0.18*AC228+0.12*AD228+0.1*AE228+0.13*T228+0.05*AH228)</f>
        <v>62.602491194991643</v>
      </c>
      <c r="AJ228" s="19">
        <f>AI228*V228</f>
        <v>65.732615754741232</v>
      </c>
      <c r="AK228" s="20">
        <f>AJ228*(P228/200)</f>
        <v>10.517218520758597</v>
      </c>
    </row>
    <row r="229" spans="1:50" x14ac:dyDescent="0.25">
      <c r="A229" t="s">
        <v>278</v>
      </c>
      <c r="B229" s="15">
        <v>874</v>
      </c>
      <c r="C229" s="15">
        <v>170</v>
      </c>
      <c r="D229" s="16">
        <v>0.49709999999999999</v>
      </c>
      <c r="E229" s="16">
        <v>0.45579999999999998</v>
      </c>
      <c r="F229" s="15">
        <v>0.54</v>
      </c>
      <c r="G229" s="15">
        <v>20.2</v>
      </c>
      <c r="H229" s="15">
        <v>46</v>
      </c>
      <c r="I229" s="17">
        <v>72</v>
      </c>
      <c r="J229" s="15">
        <v>16</v>
      </c>
      <c r="K229" s="15">
        <v>0</v>
      </c>
      <c r="L229" s="16">
        <v>0.7419</v>
      </c>
      <c r="M229" s="18">
        <v>1</v>
      </c>
      <c r="N229" s="16">
        <v>6.0199999999999997E-2</v>
      </c>
      <c r="O229" s="16">
        <v>0.18279999999999999</v>
      </c>
      <c r="P229" s="15">
        <v>10</v>
      </c>
      <c r="Q229" s="15"/>
      <c r="R229" s="15"/>
      <c r="S229" s="15"/>
      <c r="T229" s="15">
        <v>8.5</v>
      </c>
      <c r="U229" s="15">
        <v>0.2</v>
      </c>
      <c r="V229" s="15">
        <v>1</v>
      </c>
      <c r="W229" s="15"/>
      <c r="X229" s="19">
        <f>IF(B229=0,0,100*(C229+2*H229+3*I229)/B229)</f>
        <v>54.691075514874143</v>
      </c>
      <c r="Y229" s="19">
        <f>IF(C229=0,0,(J229+K229)/C229)</f>
        <v>9.4117647058823528E-2</v>
      </c>
      <c r="Z229" s="19"/>
      <c r="AA229" s="19">
        <f>MAX(0,MIN(10,5+50*(D229-0.55)+25*(E229-F229)))</f>
        <v>0.24999999999999556</v>
      </c>
      <c r="AB229" s="19">
        <f>MAX(0,MIN(10,0.2*G229+5*Y229))</f>
        <v>4.5105882352941178</v>
      </c>
      <c r="AC229" s="19">
        <f t="shared" si="183"/>
        <v>10</v>
      </c>
      <c r="AD229" s="19">
        <f>MAX(0,MIN(10,2+0.15*G229+4*Y229-0.03*((L229+M229)/2)))</f>
        <v>5.3803420882352935</v>
      </c>
      <c r="AE229" s="19">
        <f>MAX(0,MIN(10,0.15*N229+0.08*O229))</f>
        <v>2.3654000000000001E-2</v>
      </c>
      <c r="AF229" s="19"/>
      <c r="AG229" s="19"/>
      <c r="AH229" s="19">
        <f>MAX(0,MIN(10,P229/3.2-2*U229))</f>
        <v>2.7250000000000001</v>
      </c>
      <c r="AI229" s="19">
        <f>10*(0.22*AA229+0.2*AB229+0.18*AC229+0.12*AD229+0.1*AE229+0.13*T229+0.05*AH229)</f>
        <v>46.463740976470582</v>
      </c>
      <c r="AJ229" s="19">
        <f>AI229*V229</f>
        <v>46.463740976470582</v>
      </c>
      <c r="AK229" s="20">
        <f>AJ229*(P229/200)</f>
        <v>2.3231870488235291</v>
      </c>
    </row>
    <row r="230" spans="1:50" x14ac:dyDescent="0.25">
      <c r="A230" t="s">
        <v>279</v>
      </c>
      <c r="B230" s="15">
        <v>2361</v>
      </c>
      <c r="C230" s="15">
        <v>554</v>
      </c>
      <c r="D230" s="16">
        <v>0.5847</v>
      </c>
      <c r="E230" s="16">
        <v>0.53620000000000001</v>
      </c>
      <c r="F230" s="15">
        <v>0.51</v>
      </c>
      <c r="G230" s="15">
        <v>20.11</v>
      </c>
      <c r="H230" s="15">
        <v>92</v>
      </c>
      <c r="I230" s="17">
        <v>291</v>
      </c>
      <c r="J230" s="15">
        <v>58</v>
      </c>
      <c r="K230" s="15">
        <v>18</v>
      </c>
      <c r="L230" s="16">
        <v>0.61329999999999996</v>
      </c>
      <c r="M230" s="18">
        <v>0.94169999999999998</v>
      </c>
      <c r="N230" s="16">
        <v>8.3000000000000001E-3</v>
      </c>
      <c r="O230" s="16">
        <v>6.6799999999999998E-2</v>
      </c>
      <c r="P230" s="15">
        <v>33</v>
      </c>
      <c r="Q230" s="15"/>
      <c r="R230" s="15"/>
      <c r="S230" s="15"/>
      <c r="T230" s="15">
        <v>4</v>
      </c>
      <c r="U230" s="15">
        <v>0.2</v>
      </c>
      <c r="V230" s="15">
        <v>1</v>
      </c>
      <c r="W230" s="15"/>
      <c r="X230" s="19">
        <f>IF(B230=0,0,100*(C230+2*H230+3*I230)/B230)</f>
        <v>68.23379923761118</v>
      </c>
      <c r="Y230" s="19">
        <f>IF(C230=0,0,(J230+K230)/C230)</f>
        <v>0.13718411552346571</v>
      </c>
      <c r="Z230" s="19"/>
      <c r="AA230" s="19">
        <f>MAX(0,MIN(10,5+50*(D230-0.55)+25*(E230-F230)))</f>
        <v>7.3899999999999979</v>
      </c>
      <c r="AB230" s="19">
        <f>MAX(0,MIN(10,0.2*G230+5*Y230))</f>
        <v>4.7079205776173287</v>
      </c>
      <c r="AC230" s="19">
        <f t="shared" si="183"/>
        <v>10</v>
      </c>
      <c r="AD230" s="19">
        <f>MAX(0,MIN(10,2+0.15*G230+4*Y230-0.03*((L230+M230)/2)))</f>
        <v>5.5419114620938625</v>
      </c>
      <c r="AE230" s="19">
        <f>MAX(0,MIN(10,0.15*N230+0.08*O230))</f>
        <v>6.5889999999999994E-3</v>
      </c>
      <c r="AF230" s="19"/>
      <c r="AG230" s="19"/>
      <c r="AH230" s="19">
        <f>MAX(0,MIN(10,P230/3.2-2*U230))</f>
        <v>9.9124999999999996</v>
      </c>
      <c r="AI230" s="19">
        <f>10*(0.22*AA230+0.2*AB230+0.18*AC230+0.12*AD230+0.1*AE230+0.13*T230+0.05*AH230)</f>
        <v>60.486973909747292</v>
      </c>
      <c r="AJ230" s="19">
        <f>AI230*V230</f>
        <v>60.486973909747292</v>
      </c>
      <c r="AK230" s="20">
        <f>AJ230*(P230/200)</f>
        <v>9.980350695108303</v>
      </c>
    </row>
    <row r="231" spans="1:50" x14ac:dyDescent="0.25">
      <c r="A231" t="s">
        <v>280</v>
      </c>
      <c r="B231" s="15">
        <v>2053</v>
      </c>
      <c r="C231" s="15">
        <v>755</v>
      </c>
      <c r="D231" s="16">
        <v>0.63109999999999999</v>
      </c>
      <c r="E231" s="16">
        <v>0.57920000000000005</v>
      </c>
      <c r="F231" s="15">
        <v>0.48</v>
      </c>
      <c r="G231" s="15">
        <v>28.44</v>
      </c>
      <c r="H231" s="15">
        <v>356</v>
      </c>
      <c r="I231" s="17">
        <v>144</v>
      </c>
      <c r="J231" s="15">
        <v>94</v>
      </c>
      <c r="K231" s="15">
        <v>6</v>
      </c>
      <c r="L231" s="16">
        <v>0.79110000000000003</v>
      </c>
      <c r="M231" s="18">
        <v>0.96</v>
      </c>
      <c r="N231" s="16">
        <v>6.4899999999999999E-2</v>
      </c>
      <c r="O231" s="16">
        <v>0.16769999999999999</v>
      </c>
      <c r="P231" s="15">
        <v>34</v>
      </c>
      <c r="Q231" s="15"/>
      <c r="R231" s="15"/>
      <c r="S231" s="15"/>
      <c r="T231" s="15">
        <v>7.5</v>
      </c>
      <c r="U231" s="15">
        <v>0.2</v>
      </c>
      <c r="V231" s="15">
        <v>1.05</v>
      </c>
      <c r="W231" s="15"/>
      <c r="X231" s="19">
        <f>IF(B231=0,0,100*(C231+2*H231+3*I231)/B231)</f>
        <v>92.498782269849002</v>
      </c>
      <c r="Y231" s="19">
        <f>IF(C231=0,0,(J231+K231)/C231)</f>
        <v>0.13245033112582782</v>
      </c>
      <c r="Z231" s="19"/>
      <c r="AA231" s="19">
        <f>MAX(0,MIN(10,5+50*(D231-0.55)+25*(E231-F231)))</f>
        <v>10</v>
      </c>
      <c r="AB231" s="19">
        <f>MAX(0,MIN(10,0.2*G231+5*Y231))</f>
        <v>6.3502516556291395</v>
      </c>
      <c r="AC231" s="19">
        <f t="shared" si="168"/>
        <v>10</v>
      </c>
      <c r="AD231" s="19">
        <f>MAX(0,MIN(10,2+0.15*G231+4*Y231-0.03*((L231+M231)/2)))</f>
        <v>6.7695348245033111</v>
      </c>
      <c r="AE231" s="19">
        <f>MAX(0,MIN(10,0.15*N231+0.08*O231))</f>
        <v>2.3150999999999998E-2</v>
      </c>
      <c r="AF231" s="19"/>
      <c r="AG231" s="19"/>
      <c r="AH231" s="19">
        <f>MAX(0,MIN(10,P231/3.2-2*U231))</f>
        <v>10</v>
      </c>
      <c r="AI231" s="19">
        <f>10*(0.22*AA231+0.2*AB231+0.18*AC231+0.12*AD231+0.1*AE231+0.13*T231+0.05*AH231)</f>
        <v>75.597096100662242</v>
      </c>
      <c r="AJ231" s="19">
        <f>AI231*V231</f>
        <v>79.376950905695352</v>
      </c>
      <c r="AK231" s="20">
        <f>AJ231*(P231/200)</f>
        <v>13.494081653968211</v>
      </c>
    </row>
    <row r="232" spans="1:50" s="32" customFormat="1" x14ac:dyDescent="0.25">
      <c r="A232" s="31" t="s">
        <v>281</v>
      </c>
      <c r="I232" s="33"/>
      <c r="AK232" s="24">
        <f>SUM(AK212:AK231)</f>
        <v>65.6721451330706</v>
      </c>
      <c r="AL232" s="3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s="6" customFormat="1" x14ac:dyDescent="0.25">
      <c r="A233" s="5"/>
      <c r="B233" s="4" t="s">
        <v>3</v>
      </c>
      <c r="C233" s="4" t="s">
        <v>4</v>
      </c>
      <c r="D233" s="4" t="s">
        <v>5</v>
      </c>
      <c r="E233" s="4" t="s">
        <v>6</v>
      </c>
      <c r="F233" s="4" t="s">
        <v>7</v>
      </c>
      <c r="G233" s="4" t="s">
        <v>8</v>
      </c>
      <c r="H233" s="4" t="s">
        <v>9</v>
      </c>
      <c r="I233" s="9" t="s">
        <v>10</v>
      </c>
      <c r="J233" s="4" t="s">
        <v>11</v>
      </c>
      <c r="K233" s="4" t="s">
        <v>12</v>
      </c>
      <c r="L233" s="4" t="s">
        <v>13</v>
      </c>
      <c r="M233" s="4" t="s">
        <v>14</v>
      </c>
      <c r="N233" s="4" t="s">
        <v>15</v>
      </c>
      <c r="O233" s="4" t="s">
        <v>16</v>
      </c>
      <c r="P233" s="4" t="s">
        <v>17</v>
      </c>
      <c r="Q233" s="4" t="s">
        <v>18</v>
      </c>
      <c r="R233" s="4" t="s">
        <v>19</v>
      </c>
      <c r="S233" s="4" t="s">
        <v>20</v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3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25" t="s">
        <v>282</v>
      </c>
      <c r="B234" s="11" t="s">
        <v>22</v>
      </c>
      <c r="C234" s="11" t="s">
        <v>23</v>
      </c>
      <c r="D234" s="11" t="s">
        <v>3</v>
      </c>
      <c r="E234" s="11" t="s">
        <v>4</v>
      </c>
      <c r="F234" s="11" t="s">
        <v>24</v>
      </c>
      <c r="G234" s="11" t="s">
        <v>25</v>
      </c>
      <c r="H234" s="11" t="s">
        <v>26</v>
      </c>
      <c r="I234" s="12" t="s">
        <v>27</v>
      </c>
      <c r="J234" s="11" t="s">
        <v>28</v>
      </c>
      <c r="K234" s="11" t="s">
        <v>29</v>
      </c>
      <c r="L234" s="11" t="s">
        <v>30</v>
      </c>
      <c r="M234" s="11" t="s">
        <v>31</v>
      </c>
      <c r="N234" s="11" t="s">
        <v>32</v>
      </c>
      <c r="O234" s="11" t="s">
        <v>33</v>
      </c>
      <c r="P234" s="11" t="s">
        <v>20</v>
      </c>
      <c r="Q234" s="11"/>
      <c r="R234" s="11"/>
      <c r="S234" s="11"/>
      <c r="T234" s="11" t="s">
        <v>34</v>
      </c>
      <c r="U234" s="11" t="s">
        <v>35</v>
      </c>
      <c r="V234" s="11" t="s">
        <v>36</v>
      </c>
      <c r="W234" s="11" t="s">
        <v>37</v>
      </c>
      <c r="X234" s="11" t="s">
        <v>38</v>
      </c>
      <c r="Y234" s="11" t="s">
        <v>39</v>
      </c>
      <c r="Z234" s="11" t="s">
        <v>40</v>
      </c>
      <c r="AA234" s="11" t="s">
        <v>41</v>
      </c>
      <c r="AB234" s="11" t="s">
        <v>42</v>
      </c>
      <c r="AC234" s="11" t="s">
        <v>43</v>
      </c>
      <c r="AD234" s="11" t="s">
        <v>44</v>
      </c>
      <c r="AE234" s="11" t="s">
        <v>45</v>
      </c>
      <c r="AF234" s="11" t="s">
        <v>46</v>
      </c>
      <c r="AG234" s="11" t="s">
        <v>47</v>
      </c>
      <c r="AH234" s="11" t="s">
        <v>48</v>
      </c>
      <c r="AI234" s="11" t="s">
        <v>49</v>
      </c>
      <c r="AJ234" s="11" t="s">
        <v>50</v>
      </c>
      <c r="AK234" s="13" t="s">
        <v>51</v>
      </c>
    </row>
    <row r="235" spans="1:50" x14ac:dyDescent="0.25">
      <c r="A235" t="s">
        <v>283</v>
      </c>
      <c r="B235" s="15">
        <v>279</v>
      </c>
      <c r="C235" s="15">
        <v>37</v>
      </c>
      <c r="D235" s="16">
        <v>0.36270000000000002</v>
      </c>
      <c r="E235" s="16">
        <v>0.35420000000000001</v>
      </c>
      <c r="F235" s="15">
        <v>0.46</v>
      </c>
      <c r="G235" s="15">
        <v>18.46</v>
      </c>
      <c r="H235" s="15">
        <v>14</v>
      </c>
      <c r="I235" s="17">
        <v>6</v>
      </c>
      <c r="J235" s="15">
        <v>8</v>
      </c>
      <c r="K235" s="15">
        <v>6</v>
      </c>
      <c r="L235" s="16">
        <v>0.63639999999999997</v>
      </c>
      <c r="M235" s="18">
        <v>0.5</v>
      </c>
      <c r="N235" s="16">
        <v>5.4800000000000001E-2</v>
      </c>
      <c r="O235" s="16">
        <v>0.1343</v>
      </c>
      <c r="P235" s="15">
        <v>9</v>
      </c>
      <c r="Q235" s="15"/>
      <c r="R235" s="15"/>
      <c r="S235" s="15"/>
      <c r="T235" s="15">
        <v>6</v>
      </c>
      <c r="U235" s="15">
        <v>0.2</v>
      </c>
      <c r="V235" s="15">
        <v>0.98</v>
      </c>
      <c r="W235" s="15"/>
      <c r="X235" s="19">
        <f>IF(B235=0,0,100*(C235+2*H235+3*I235)/B235)</f>
        <v>29.749103942652329</v>
      </c>
      <c r="Y235" s="19">
        <f>IF(C235=0,0,(J235+K235)/C235)</f>
        <v>0.3783783783783784</v>
      </c>
      <c r="Z235" s="19"/>
      <c r="AA235" s="19">
        <f>MAX(0,MIN(10,5+50*(D235-0.55)+25*(E235-F235)))</f>
        <v>0</v>
      </c>
      <c r="AB235" s="19">
        <f>MAX(0,MIN(10,0.2*G235+5*Y235))</f>
        <v>5.5838918918918923</v>
      </c>
      <c r="AC235" s="19">
        <f t="shared" ref="AC235:AC245" si="184">MAX(0,MIN(10,X235/4))</f>
        <v>7.4372759856630823</v>
      </c>
      <c r="AD235" s="19">
        <f>MAX(0,MIN(10,2+0.15*G235+4*Y235-0.03*((L235+M235)/2)))</f>
        <v>6.2654675135135145</v>
      </c>
      <c r="AE235" s="19">
        <f>MAX(0,MIN(10,0.15*N235+0.08*O235))</f>
        <v>1.8964000000000002E-2</v>
      </c>
      <c r="AF235" s="19"/>
      <c r="AG235" s="19"/>
      <c r="AH235" s="19">
        <f>MAX(0,MIN(10,P235/3.2-2*U235))</f>
        <v>2.4125000000000001</v>
      </c>
      <c r="AI235" s="19">
        <f>10*(0.22*AA235+0.2*AB235+0.18*AC235+0.12*AD235+0.1*AE235+0.13*T235+0.05*AH235)</f>
        <v>41.098655574193558</v>
      </c>
      <c r="AJ235" s="19">
        <f>AI235*V235</f>
        <v>40.276682462709687</v>
      </c>
      <c r="AK235" s="20">
        <f>AJ235*(P235/200)</f>
        <v>1.8124507108219359</v>
      </c>
    </row>
    <row r="236" spans="1:50" x14ac:dyDescent="0.25">
      <c r="A236" t="s">
        <v>284</v>
      </c>
      <c r="B236" s="16">
        <v>0.60099999999999998</v>
      </c>
      <c r="C236" s="16">
        <v>0.57499999999999996</v>
      </c>
      <c r="D236" s="15">
        <v>0.40300000000000002</v>
      </c>
      <c r="E236" s="15">
        <v>0.158</v>
      </c>
      <c r="F236" s="16">
        <v>4.3999999999999997E-2</v>
      </c>
      <c r="G236" s="16">
        <v>0.17499999999999999</v>
      </c>
      <c r="H236" s="16">
        <v>0.13800000000000001</v>
      </c>
      <c r="I236" s="23">
        <v>1.4999999999999999E-2</v>
      </c>
      <c r="J236" s="16">
        <v>1.7999999999999999E-2</v>
      </c>
      <c r="K236" s="18">
        <v>0.114</v>
      </c>
      <c r="L236" s="16">
        <v>0.27900000000000003</v>
      </c>
      <c r="M236" s="15">
        <v>113.1</v>
      </c>
      <c r="N236" s="15">
        <v>94.5</v>
      </c>
      <c r="O236" s="15">
        <v>0.22</v>
      </c>
      <c r="P236" s="15">
        <v>9.5</v>
      </c>
      <c r="Q236" s="15">
        <v>1.8</v>
      </c>
      <c r="R236" s="15">
        <v>11.4</v>
      </c>
      <c r="S236" s="15">
        <v>5</v>
      </c>
      <c r="T236" s="15">
        <v>5.5</v>
      </c>
      <c r="U236" s="15">
        <v>0.2</v>
      </c>
      <c r="V236" s="15">
        <v>0.94</v>
      </c>
      <c r="W236" s="15">
        <v>0.92</v>
      </c>
      <c r="X236" s="19">
        <f t="shared" ref="X236:X244" si="185">MAX(0,MIN(100,0.45*M236+0.6*H236+0.35*L236-0.2*K236-15))</f>
        <v>36.05265</v>
      </c>
      <c r="Y236" s="19">
        <f t="shared" ref="Y236:Y244" si="186">MAX(0,MIN(1,0.012*L236+0.025*P236+0.3*E236+0.2*D236-0.18))</f>
        <v>0.18884800000000002</v>
      </c>
      <c r="Z236" s="19">
        <f t="shared" ref="Z236:Z244" si="187">MAX(0,MIN(10,1+0.45*R236+30*O236+0.04*(M236-N236)))</f>
        <v>10</v>
      </c>
      <c r="AA236" s="19">
        <f t="shared" ref="AA236:AA244" si="188">MAX(0,MIN(10,3+20*(B236-0.52)+15*(C236-0.5)+0.06*(M236-100)))</f>
        <v>6.5309999999999979</v>
      </c>
      <c r="AB236" s="19">
        <f t="shared" ref="AB236:AB244" si="189">MAX(0,MIN(10,0.16*L236+0.55*P236+4*E236))</f>
        <v>5.9016400000000004</v>
      </c>
      <c r="AC236" s="19">
        <f t="shared" ref="AC236:AC244" si="190">MAX(0,MIN(10,2+0.22*H236-0.12*K236+0.15*P236))</f>
        <v>3.4416799999999999</v>
      </c>
      <c r="AD236" s="19">
        <f t="shared" ref="AD236:AD244" si="191">MAX(0,MIN(10,2+0.28*P236+0.1*L236+2*D236+1.5*E236))</f>
        <v>5.7309000000000001</v>
      </c>
      <c r="AE236" s="19">
        <f t="shared" ref="AE236:AE244" si="192">MAX(0,MIN(10,0.18*F236+0.08*G236))</f>
        <v>2.1919999999999999E-2</v>
      </c>
      <c r="AF236" s="19">
        <f t="shared" ref="AF236:AF244" si="193">MAX(0,MIN(10,4+0.3*Q236+0.6*I236+0.5*J236+0.03*(105-N236)))</f>
        <v>4.8730000000000011</v>
      </c>
      <c r="AG236" s="19">
        <f t="shared" ref="AG236:AG244" si="194">0.6*AF236+0.4*T236</f>
        <v>5.123800000000001</v>
      </c>
      <c r="AH236" s="19">
        <f t="shared" ref="AH236:AH244" si="195">MAX(0,MIN(10,S236/3.2-2*U236))</f>
        <v>1.1625000000000001</v>
      </c>
      <c r="AI236" s="19">
        <f t="shared" ref="AI236:AI244" si="196">10*(0.18*Z236+0.17*AA236+0.15*AB236+0.14*AC236+0.1*AD236+0.08*AE236+0.1*AG236+0.08*AH236)</f>
        <v>54.575747999999997</v>
      </c>
      <c r="AJ236" s="19">
        <f t="shared" ref="AJ236:AJ244" si="197">AI236*V236*W236</f>
        <v>47.197106870399999</v>
      </c>
      <c r="AK236" s="20">
        <f t="shared" ref="AK236:AK244" si="198">AJ236*(P236/200)</f>
        <v>2.2418625763439999</v>
      </c>
    </row>
    <row r="237" spans="1:50" x14ac:dyDescent="0.25">
      <c r="A237" t="s">
        <v>285</v>
      </c>
      <c r="B237" s="16">
        <v>0.54900000000000004</v>
      </c>
      <c r="C237" s="16">
        <v>0.52600000000000002</v>
      </c>
      <c r="D237" s="15">
        <v>0.39500000000000002</v>
      </c>
      <c r="E237" s="15">
        <v>0.13100000000000001</v>
      </c>
      <c r="F237" s="16">
        <v>1.7999999999999999E-2</v>
      </c>
      <c r="G237" s="16">
        <v>0.11700000000000001</v>
      </c>
      <c r="H237" s="16">
        <v>0.22</v>
      </c>
      <c r="I237" s="23">
        <v>2.1000000000000001E-2</v>
      </c>
      <c r="J237" s="16">
        <v>6.0000000000000001E-3</v>
      </c>
      <c r="K237" s="18">
        <v>0.11700000000000001</v>
      </c>
      <c r="L237" s="16">
        <v>0.27500000000000002</v>
      </c>
      <c r="M237" s="15">
        <v>107.6</v>
      </c>
      <c r="N237" s="15">
        <v>96.1</v>
      </c>
      <c r="O237" s="15">
        <v>0.185</v>
      </c>
      <c r="P237" s="15">
        <v>6.6</v>
      </c>
      <c r="Q237" s="15">
        <v>1.6</v>
      </c>
      <c r="R237" s="15">
        <v>8.1999999999999993</v>
      </c>
      <c r="S237" s="15">
        <v>7</v>
      </c>
      <c r="T237" s="15">
        <v>4.5</v>
      </c>
      <c r="U237" s="15">
        <v>0.2</v>
      </c>
      <c r="V237" s="15">
        <v>0.96</v>
      </c>
      <c r="W237" s="15">
        <v>0.94</v>
      </c>
      <c r="X237" s="19">
        <f t="shared" si="185"/>
        <v>33.624849999999995</v>
      </c>
      <c r="Y237" s="19">
        <f t="shared" si="186"/>
        <v>0.10660000000000003</v>
      </c>
      <c r="Z237" s="19">
        <f t="shared" si="187"/>
        <v>10</v>
      </c>
      <c r="AA237" s="19">
        <f t="shared" si="188"/>
        <v>4.4260000000000002</v>
      </c>
      <c r="AB237" s="19">
        <f t="shared" si="189"/>
        <v>4.1980000000000004</v>
      </c>
      <c r="AC237" s="19">
        <f t="shared" si="190"/>
        <v>3.0243599999999997</v>
      </c>
      <c r="AD237" s="19">
        <f t="shared" si="191"/>
        <v>4.8620000000000001</v>
      </c>
      <c r="AE237" s="19">
        <f t="shared" si="192"/>
        <v>1.26E-2</v>
      </c>
      <c r="AF237" s="19">
        <f t="shared" si="193"/>
        <v>4.7626000000000008</v>
      </c>
      <c r="AG237" s="19">
        <f t="shared" si="194"/>
        <v>4.6575600000000001</v>
      </c>
      <c r="AH237" s="19">
        <f t="shared" si="195"/>
        <v>1.7875000000000001</v>
      </c>
      <c r="AI237" s="19">
        <f t="shared" si="196"/>
        <v>47.014943999999986</v>
      </c>
      <c r="AJ237" s="19">
        <f t="shared" si="197"/>
        <v>42.426285465599982</v>
      </c>
      <c r="AK237" s="20">
        <f t="shared" si="198"/>
        <v>1.4000674203647994</v>
      </c>
    </row>
    <row r="238" spans="1:50" x14ac:dyDescent="0.25">
      <c r="A238" t="s">
        <v>286</v>
      </c>
      <c r="B238" s="16">
        <v>0.54200000000000004</v>
      </c>
      <c r="C238" s="16">
        <v>0.52600000000000002</v>
      </c>
      <c r="D238" s="15">
        <v>0.65800000000000003</v>
      </c>
      <c r="E238" s="15">
        <v>8.7999999999999995E-2</v>
      </c>
      <c r="F238" s="16">
        <v>2.8000000000000001E-2</v>
      </c>
      <c r="G238" s="16">
        <v>0.11</v>
      </c>
      <c r="H238" s="16">
        <v>0.156</v>
      </c>
      <c r="I238" s="23">
        <v>1.7999999999999999E-2</v>
      </c>
      <c r="J238" s="16">
        <v>1.2E-2</v>
      </c>
      <c r="K238" s="18">
        <v>0.14799999999999999</v>
      </c>
      <c r="L238" s="16">
        <v>0.188</v>
      </c>
      <c r="M238" s="15">
        <v>115</v>
      </c>
      <c r="N238" s="15">
        <v>91.1</v>
      </c>
      <c r="O238" s="15">
        <v>0.18099999999999999</v>
      </c>
      <c r="P238" s="15">
        <v>5.9</v>
      </c>
      <c r="Q238" s="15">
        <v>3.6</v>
      </c>
      <c r="R238" s="15">
        <v>9.5</v>
      </c>
      <c r="S238" s="15">
        <v>18</v>
      </c>
      <c r="T238" s="15">
        <v>5.5</v>
      </c>
      <c r="U238" s="15">
        <v>0.2</v>
      </c>
      <c r="V238" s="15">
        <v>1.01</v>
      </c>
      <c r="W238" s="15">
        <v>0.99</v>
      </c>
      <c r="X238" s="19">
        <f t="shared" si="185"/>
        <v>36.879800000000003</v>
      </c>
      <c r="Y238" s="19">
        <f t="shared" si="186"/>
        <v>0.12775600000000004</v>
      </c>
      <c r="Z238" s="19">
        <f t="shared" si="187"/>
        <v>10</v>
      </c>
      <c r="AA238" s="19">
        <f t="shared" si="188"/>
        <v>4.7300000000000004</v>
      </c>
      <c r="AB238" s="19">
        <f t="shared" si="189"/>
        <v>3.6270800000000003</v>
      </c>
      <c r="AC238" s="19">
        <f t="shared" si="190"/>
        <v>2.9015599999999999</v>
      </c>
      <c r="AD238" s="19">
        <f t="shared" si="191"/>
        <v>5.1188000000000002</v>
      </c>
      <c r="AE238" s="19">
        <f t="shared" si="192"/>
        <v>1.3840000000000002E-2</v>
      </c>
      <c r="AF238" s="19">
        <f t="shared" si="193"/>
        <v>5.5137999999999998</v>
      </c>
      <c r="AG238" s="19">
        <f t="shared" si="194"/>
        <v>5.5082800000000001</v>
      </c>
      <c r="AH238" s="19">
        <f t="shared" si="195"/>
        <v>5.2249999999999996</v>
      </c>
      <c r="AI238" s="19">
        <f t="shared" si="196"/>
        <v>50.361955999999999</v>
      </c>
      <c r="AJ238" s="19">
        <f t="shared" si="197"/>
        <v>50.356919804399993</v>
      </c>
      <c r="AK238" s="20">
        <f t="shared" si="198"/>
        <v>1.4855291342297998</v>
      </c>
    </row>
    <row r="239" spans="1:50" x14ac:dyDescent="0.25">
      <c r="A239" t="s">
        <v>287</v>
      </c>
      <c r="B239" s="16">
        <v>0.64100000000000001</v>
      </c>
      <c r="C239" s="16">
        <v>0.59899999999999998</v>
      </c>
      <c r="D239" s="15">
        <v>0.45900000000000002</v>
      </c>
      <c r="E239" s="15">
        <v>0.29599999999999999</v>
      </c>
      <c r="F239" s="16">
        <v>0.04</v>
      </c>
      <c r="G239" s="16">
        <v>0.217</v>
      </c>
      <c r="H239" s="16">
        <v>0.26200000000000001</v>
      </c>
      <c r="I239" s="23">
        <v>1.6E-2</v>
      </c>
      <c r="J239" s="16">
        <v>3.5000000000000003E-2</v>
      </c>
      <c r="K239" s="18">
        <v>0.19</v>
      </c>
      <c r="L239" s="16">
        <v>0.31</v>
      </c>
      <c r="M239" s="15">
        <v>115.4</v>
      </c>
      <c r="N239" s="15">
        <v>85.6</v>
      </c>
      <c r="O239" s="15">
        <v>0.29699999999999999</v>
      </c>
      <c r="P239" s="15">
        <v>9.3000000000000007</v>
      </c>
      <c r="Q239" s="15">
        <v>3</v>
      </c>
      <c r="R239" s="15">
        <v>12.3</v>
      </c>
      <c r="S239" s="15">
        <v>11</v>
      </c>
      <c r="T239" s="15">
        <v>6</v>
      </c>
      <c r="U239" s="15">
        <v>0.2</v>
      </c>
      <c r="V239" s="15">
        <v>0.98</v>
      </c>
      <c r="W239" s="15">
        <v>0.97</v>
      </c>
      <c r="X239" s="19">
        <f t="shared" si="185"/>
        <v>37.157700000000013</v>
      </c>
      <c r="Y239" s="19">
        <f t="shared" si="186"/>
        <v>0.23682000000000003</v>
      </c>
      <c r="Z239" s="19">
        <f t="shared" si="187"/>
        <v>10</v>
      </c>
      <c r="AA239" s="19">
        <f t="shared" si="188"/>
        <v>7.8289999999999997</v>
      </c>
      <c r="AB239" s="19">
        <f t="shared" si="189"/>
        <v>6.3486000000000011</v>
      </c>
      <c r="AC239" s="19">
        <f t="shared" si="190"/>
        <v>3.42984</v>
      </c>
      <c r="AD239" s="19">
        <f t="shared" si="191"/>
        <v>5.9970000000000008</v>
      </c>
      <c r="AE239" s="19">
        <f t="shared" si="192"/>
        <v>2.4559999999999998E-2</v>
      </c>
      <c r="AF239" s="19">
        <f t="shared" si="193"/>
        <v>5.5091000000000001</v>
      </c>
      <c r="AG239" s="19">
        <f t="shared" si="194"/>
        <v>5.7054600000000004</v>
      </c>
      <c r="AH239" s="19">
        <f t="shared" si="195"/>
        <v>3.0375000000000001</v>
      </c>
      <c r="AI239" s="19">
        <f t="shared" si="196"/>
        <v>59.786084000000002</v>
      </c>
      <c r="AJ239" s="19">
        <f t="shared" si="197"/>
        <v>56.8326514504</v>
      </c>
      <c r="AK239" s="20">
        <f t="shared" si="198"/>
        <v>2.6427182924436003</v>
      </c>
    </row>
    <row r="240" spans="1:50" x14ac:dyDescent="0.25">
      <c r="A240" t="s">
        <v>288</v>
      </c>
      <c r="B240" s="16">
        <v>0.58899999999999997</v>
      </c>
      <c r="C240" s="16">
        <v>0.56999999999999995</v>
      </c>
      <c r="D240" s="15">
        <v>0.504</v>
      </c>
      <c r="E240" s="15">
        <v>0.217</v>
      </c>
      <c r="F240" s="16">
        <v>5.2999999999999999E-2</v>
      </c>
      <c r="G240" s="16">
        <v>0.11899999999999999</v>
      </c>
      <c r="H240" s="16">
        <v>0.13300000000000001</v>
      </c>
      <c r="I240" s="23">
        <v>2.1999999999999999E-2</v>
      </c>
      <c r="J240" s="16">
        <v>1.0999999999999999E-2</v>
      </c>
      <c r="K240" s="18">
        <v>0.13100000000000001</v>
      </c>
      <c r="L240" s="16">
        <v>0.219</v>
      </c>
      <c r="M240" s="15">
        <v>113</v>
      </c>
      <c r="N240" s="15">
        <v>92.5</v>
      </c>
      <c r="O240" s="15">
        <v>0.193</v>
      </c>
      <c r="P240" s="15">
        <v>7.9</v>
      </c>
      <c r="Q240" s="15">
        <v>3.9</v>
      </c>
      <c r="R240" s="15">
        <v>11.8</v>
      </c>
      <c r="S240" s="15">
        <v>11</v>
      </c>
      <c r="T240" s="15">
        <v>6</v>
      </c>
      <c r="U240" s="15">
        <v>0.2</v>
      </c>
      <c r="V240" s="15">
        <v>0.98</v>
      </c>
      <c r="W240" s="15">
        <v>0.97</v>
      </c>
      <c r="X240" s="19">
        <f t="shared" si="185"/>
        <v>35.980249999999998</v>
      </c>
      <c r="Y240" s="19">
        <f t="shared" si="186"/>
        <v>0.18602800000000003</v>
      </c>
      <c r="Z240" s="19">
        <f t="shared" si="187"/>
        <v>10</v>
      </c>
      <c r="AA240" s="19">
        <f t="shared" si="188"/>
        <v>6.2099999999999982</v>
      </c>
      <c r="AB240" s="19">
        <f t="shared" si="189"/>
        <v>5.2480400000000014</v>
      </c>
      <c r="AC240" s="19">
        <f t="shared" si="190"/>
        <v>3.1985399999999999</v>
      </c>
      <c r="AD240" s="19">
        <f t="shared" si="191"/>
        <v>5.5673999999999992</v>
      </c>
      <c r="AE240" s="19">
        <f t="shared" si="192"/>
        <v>1.9060000000000001E-2</v>
      </c>
      <c r="AF240" s="19">
        <f t="shared" si="193"/>
        <v>5.5636999999999999</v>
      </c>
      <c r="AG240" s="19">
        <f t="shared" si="194"/>
        <v>5.7382200000000001</v>
      </c>
      <c r="AH240" s="19">
        <f t="shared" si="195"/>
        <v>3.0375000000000001</v>
      </c>
      <c r="AI240" s="19">
        <f t="shared" si="196"/>
        <v>54.657884000000003</v>
      </c>
      <c r="AJ240" s="19">
        <f t="shared" si="197"/>
        <v>51.957784530399998</v>
      </c>
      <c r="AK240" s="20">
        <f t="shared" si="198"/>
        <v>2.0523324889508001</v>
      </c>
    </row>
    <row r="241" spans="1:37" x14ac:dyDescent="0.25">
      <c r="A241" t="s">
        <v>289</v>
      </c>
      <c r="B241" s="16">
        <v>0.64200000000000002</v>
      </c>
      <c r="C241" s="16">
        <v>0.60599999999999998</v>
      </c>
      <c r="D241" s="15">
        <v>0.35799999999999998</v>
      </c>
      <c r="E241" s="15">
        <v>0.24299999999999999</v>
      </c>
      <c r="F241" s="16">
        <v>0.01</v>
      </c>
      <c r="G241" s="16">
        <v>0.108</v>
      </c>
      <c r="H241" s="16">
        <v>0.216</v>
      </c>
      <c r="I241" s="23">
        <v>2.5000000000000001E-2</v>
      </c>
      <c r="J241" s="16">
        <v>4.0000000000000001E-3</v>
      </c>
      <c r="K241" s="18">
        <v>0.161</v>
      </c>
      <c r="L241" s="16">
        <v>0.309</v>
      </c>
      <c r="M241" s="15">
        <v>114.6</v>
      </c>
      <c r="N241" s="15">
        <v>100.3</v>
      </c>
      <c r="O241" s="15">
        <v>0.22800000000000001</v>
      </c>
      <c r="P241" s="15">
        <v>9.4</v>
      </c>
      <c r="Q241" s="15">
        <v>2.2000000000000002</v>
      </c>
      <c r="R241" s="15">
        <v>11.6</v>
      </c>
      <c r="S241" s="15">
        <v>8</v>
      </c>
      <c r="T241" s="15">
        <v>4.5</v>
      </c>
      <c r="U241" s="15">
        <v>0.2</v>
      </c>
      <c r="V241" s="15">
        <v>0.96</v>
      </c>
      <c r="W241" s="15">
        <v>0.94</v>
      </c>
      <c r="X241" s="19">
        <f t="shared" si="185"/>
        <v>36.775550000000003</v>
      </c>
      <c r="Y241" s="19">
        <f t="shared" si="186"/>
        <v>0.203208</v>
      </c>
      <c r="Z241" s="19">
        <f t="shared" si="187"/>
        <v>10</v>
      </c>
      <c r="AA241" s="19">
        <f t="shared" si="188"/>
        <v>7.9059999999999988</v>
      </c>
      <c r="AB241" s="19">
        <f t="shared" si="189"/>
        <v>6.1914400000000001</v>
      </c>
      <c r="AC241" s="19">
        <f t="shared" si="190"/>
        <v>3.4382000000000001</v>
      </c>
      <c r="AD241" s="19">
        <f t="shared" si="191"/>
        <v>5.7434000000000003</v>
      </c>
      <c r="AE241" s="19">
        <f t="shared" si="192"/>
        <v>1.044E-2</v>
      </c>
      <c r="AF241" s="19">
        <f t="shared" si="193"/>
        <v>4.8179999999999996</v>
      </c>
      <c r="AG241" s="19">
        <f t="shared" si="194"/>
        <v>4.6907999999999994</v>
      </c>
      <c r="AH241" s="19">
        <f t="shared" si="195"/>
        <v>2.1</v>
      </c>
      <c r="AI241" s="19">
        <f t="shared" si="196"/>
        <v>57.663392000000002</v>
      </c>
      <c r="AJ241" s="19">
        <f t="shared" si="197"/>
        <v>52.035444940799998</v>
      </c>
      <c r="AK241" s="20">
        <f t="shared" si="198"/>
        <v>2.4456659122176001</v>
      </c>
    </row>
    <row r="242" spans="1:37" x14ac:dyDescent="0.25">
      <c r="A242" t="s">
        <v>290</v>
      </c>
      <c r="B242" s="16">
        <v>0.54200000000000004</v>
      </c>
      <c r="C242" s="16">
        <v>0.496</v>
      </c>
      <c r="D242" s="15">
        <v>0.218</v>
      </c>
      <c r="E242" s="15">
        <v>0.34200000000000003</v>
      </c>
      <c r="F242" s="16">
        <v>6.8000000000000005E-2</v>
      </c>
      <c r="G242" s="16">
        <v>0.20399999999999999</v>
      </c>
      <c r="H242" s="16">
        <v>0.186</v>
      </c>
      <c r="I242" s="23">
        <v>4.9000000000000002E-2</v>
      </c>
      <c r="J242" s="16">
        <v>1.4E-2</v>
      </c>
      <c r="K242" s="18">
        <v>0.14799999999999999</v>
      </c>
      <c r="L242" s="16">
        <v>0.28699999999999998</v>
      </c>
      <c r="M242" s="15">
        <v>108.7</v>
      </c>
      <c r="N242" s="15">
        <v>81.5</v>
      </c>
      <c r="O242" s="15">
        <v>0.248</v>
      </c>
      <c r="P242" s="15">
        <v>6.8</v>
      </c>
      <c r="Q242" s="15">
        <v>4.7</v>
      </c>
      <c r="R242" s="15">
        <v>11.5</v>
      </c>
      <c r="S242" s="15">
        <v>4</v>
      </c>
      <c r="T242" s="15">
        <v>6</v>
      </c>
      <c r="U242" s="15">
        <v>0.2</v>
      </c>
      <c r="V242" s="15">
        <v>0.96</v>
      </c>
      <c r="W242" s="15">
        <v>0.94</v>
      </c>
      <c r="X242" s="19">
        <f t="shared" si="185"/>
        <v>34.097450000000002</v>
      </c>
      <c r="Y242" s="19">
        <f t="shared" si="186"/>
        <v>0.13964400000000005</v>
      </c>
      <c r="Z242" s="19">
        <f t="shared" si="187"/>
        <v>10</v>
      </c>
      <c r="AA242" s="19">
        <f t="shared" si="188"/>
        <v>3.9020000000000006</v>
      </c>
      <c r="AB242" s="19">
        <f t="shared" si="189"/>
        <v>5.1539200000000003</v>
      </c>
      <c r="AC242" s="19">
        <f t="shared" si="190"/>
        <v>3.0431599999999999</v>
      </c>
      <c r="AD242" s="19">
        <f t="shared" si="191"/>
        <v>4.8817000000000004</v>
      </c>
      <c r="AE242" s="19">
        <f t="shared" si="192"/>
        <v>2.8559999999999999E-2</v>
      </c>
      <c r="AF242" s="19">
        <f t="shared" si="193"/>
        <v>6.1513999999999998</v>
      </c>
      <c r="AG242" s="19">
        <f t="shared" si="194"/>
        <v>6.09084</v>
      </c>
      <c r="AH242" s="19">
        <f t="shared" si="195"/>
        <v>0.85</v>
      </c>
      <c r="AI242" s="19">
        <f t="shared" si="196"/>
        <v>48.300091999999999</v>
      </c>
      <c r="AJ242" s="19">
        <f t="shared" si="197"/>
        <v>43.586003020799993</v>
      </c>
      <c r="AK242" s="20">
        <f t="shared" si="198"/>
        <v>1.4819241027071999</v>
      </c>
    </row>
    <row r="243" spans="1:37" x14ac:dyDescent="0.25">
      <c r="A243" t="s">
        <v>291</v>
      </c>
      <c r="B243" s="16">
        <v>0.53600000000000003</v>
      </c>
      <c r="C243" s="16">
        <v>0.52200000000000002</v>
      </c>
      <c r="D243" s="15">
        <v>0.435</v>
      </c>
      <c r="E243" s="15">
        <v>5.3999999999999999E-2</v>
      </c>
      <c r="F243" s="16">
        <v>2.4E-2</v>
      </c>
      <c r="G243" s="16">
        <v>0.13800000000000001</v>
      </c>
      <c r="H243" s="16">
        <v>0.158</v>
      </c>
      <c r="I243" s="23">
        <v>2.7E-2</v>
      </c>
      <c r="J243" s="16">
        <v>5.0000000000000001E-3</v>
      </c>
      <c r="K243" s="18">
        <v>0.16</v>
      </c>
      <c r="L243" s="16">
        <v>0.188</v>
      </c>
      <c r="M243" s="15">
        <v>108.5</v>
      </c>
      <c r="N243" s="15">
        <v>88</v>
      </c>
      <c r="O243" s="15">
        <v>0.185</v>
      </c>
      <c r="P243" s="15">
        <v>4.2</v>
      </c>
      <c r="Q243" s="15">
        <v>1.9</v>
      </c>
      <c r="R243" s="15">
        <v>6.1</v>
      </c>
      <c r="S243" s="15">
        <v>4</v>
      </c>
      <c r="T243" s="15">
        <v>5.5</v>
      </c>
      <c r="U243" s="15">
        <v>0.2</v>
      </c>
      <c r="V243" s="15">
        <v>0.94</v>
      </c>
      <c r="W243" s="15">
        <v>0.94</v>
      </c>
      <c r="X243" s="19">
        <f t="shared" si="185"/>
        <v>33.953600000000009</v>
      </c>
      <c r="Y243" s="19">
        <f t="shared" si="186"/>
        <v>3.0456000000000039E-2</v>
      </c>
      <c r="Z243" s="19">
        <f t="shared" si="187"/>
        <v>10</v>
      </c>
      <c r="AA243" s="19">
        <f t="shared" si="188"/>
        <v>4.16</v>
      </c>
      <c r="AB243" s="19">
        <f t="shared" si="189"/>
        <v>2.5560800000000006</v>
      </c>
      <c r="AC243" s="19">
        <f t="shared" si="190"/>
        <v>2.6455599999999997</v>
      </c>
      <c r="AD243" s="19">
        <f t="shared" si="191"/>
        <v>4.1458000000000004</v>
      </c>
      <c r="AE243" s="19">
        <f t="shared" si="192"/>
        <v>1.5360000000000002E-2</v>
      </c>
      <c r="AF243" s="19">
        <f t="shared" si="193"/>
        <v>5.0987000000000009</v>
      </c>
      <c r="AG243" s="19">
        <f t="shared" si="194"/>
        <v>5.2592200000000009</v>
      </c>
      <c r="AH243" s="19">
        <f t="shared" si="195"/>
        <v>0.85</v>
      </c>
      <c r="AI243" s="19">
        <f t="shared" si="196"/>
        <v>42.707211999999998</v>
      </c>
      <c r="AJ243" s="19">
        <f t="shared" si="197"/>
        <v>37.736092523199993</v>
      </c>
      <c r="AK243" s="20">
        <f t="shared" si="198"/>
        <v>0.79245794298719985</v>
      </c>
    </row>
    <row r="244" spans="1:37" x14ac:dyDescent="0.25">
      <c r="A244" t="s">
        <v>292</v>
      </c>
      <c r="B244" s="16">
        <v>0.53400000000000003</v>
      </c>
      <c r="C244" s="16">
        <v>0.48899999999999999</v>
      </c>
      <c r="D244" s="15">
        <v>0.57799999999999996</v>
      </c>
      <c r="E244" s="15">
        <v>0.23499999999999999</v>
      </c>
      <c r="F244" s="16">
        <v>1.0999999999999999E-2</v>
      </c>
      <c r="G244" s="16">
        <v>0.11799999999999999</v>
      </c>
      <c r="H244" s="16">
        <v>0.113</v>
      </c>
      <c r="I244" s="23">
        <v>2.1000000000000001E-2</v>
      </c>
      <c r="J244" s="16">
        <v>1.4999999999999999E-2</v>
      </c>
      <c r="K244" s="18">
        <v>0.127</v>
      </c>
      <c r="L244" s="16">
        <v>0.25800000000000001</v>
      </c>
      <c r="M244" s="15">
        <v>99.3</v>
      </c>
      <c r="N244" s="15">
        <v>92.1</v>
      </c>
      <c r="O244" s="15">
        <v>0.14399999999999999</v>
      </c>
      <c r="P244" s="15">
        <v>4.7</v>
      </c>
      <c r="Q244" s="15">
        <v>1.5</v>
      </c>
      <c r="R244" s="15">
        <v>6.2</v>
      </c>
      <c r="S244" s="15">
        <v>4</v>
      </c>
      <c r="T244" s="15">
        <v>4.5</v>
      </c>
      <c r="U244" s="15">
        <v>0.2</v>
      </c>
      <c r="V244" s="15">
        <v>0.93</v>
      </c>
      <c r="W244" s="15">
        <v>0.9</v>
      </c>
      <c r="X244" s="19">
        <f t="shared" si="185"/>
        <v>29.817700000000002</v>
      </c>
      <c r="Y244" s="19">
        <f t="shared" si="186"/>
        <v>0.12669599999999998</v>
      </c>
      <c r="Z244" s="19">
        <f t="shared" si="187"/>
        <v>8.3979999999999997</v>
      </c>
      <c r="AA244" s="19">
        <f t="shared" si="188"/>
        <v>3.073</v>
      </c>
      <c r="AB244" s="19">
        <f t="shared" si="189"/>
        <v>3.5662800000000003</v>
      </c>
      <c r="AC244" s="19">
        <f t="shared" si="190"/>
        <v>2.71462</v>
      </c>
      <c r="AD244" s="19">
        <f t="shared" si="191"/>
        <v>4.8502999999999998</v>
      </c>
      <c r="AE244" s="19">
        <f t="shared" si="192"/>
        <v>1.142E-2</v>
      </c>
      <c r="AF244" s="19">
        <f t="shared" si="193"/>
        <v>4.8571000000000009</v>
      </c>
      <c r="AG244" s="19">
        <f t="shared" si="194"/>
        <v>4.7142600000000003</v>
      </c>
      <c r="AH244" s="19">
        <f t="shared" si="195"/>
        <v>0.85</v>
      </c>
      <c r="AI244" s="19">
        <f t="shared" si="196"/>
        <v>39.744084000000001</v>
      </c>
      <c r="AJ244" s="19">
        <f t="shared" si="197"/>
        <v>33.265798308000008</v>
      </c>
      <c r="AK244" s="20">
        <f t="shared" si="198"/>
        <v>0.7817462602380002</v>
      </c>
    </row>
    <row r="245" spans="1:37" x14ac:dyDescent="0.25">
      <c r="A245" t="s">
        <v>293</v>
      </c>
      <c r="B245" s="15">
        <v>1472</v>
      </c>
      <c r="C245" s="15">
        <v>438</v>
      </c>
      <c r="D245" s="16">
        <v>0.54759999999999998</v>
      </c>
      <c r="E245" s="16">
        <v>0.50139999999999996</v>
      </c>
      <c r="F245" s="15">
        <v>0.52</v>
      </c>
      <c r="G245" s="15">
        <v>27.7</v>
      </c>
      <c r="H245" s="15">
        <v>126</v>
      </c>
      <c r="I245" s="17">
        <v>159</v>
      </c>
      <c r="J245" s="15">
        <v>66</v>
      </c>
      <c r="K245" s="15">
        <v>12</v>
      </c>
      <c r="L245" s="16">
        <v>0.65629999999999999</v>
      </c>
      <c r="M245" s="18">
        <v>0.92979999999999996</v>
      </c>
      <c r="N245" s="16">
        <v>1.4500000000000001E-2</v>
      </c>
      <c r="O245" s="16">
        <v>0.1003</v>
      </c>
      <c r="P245" s="15">
        <v>29</v>
      </c>
      <c r="Q245" s="15"/>
      <c r="R245" s="15"/>
      <c r="S245" s="15"/>
      <c r="T245" s="15">
        <v>5</v>
      </c>
      <c r="U245" s="15">
        <v>0.2</v>
      </c>
      <c r="V245" s="15">
        <v>1</v>
      </c>
      <c r="W245" s="15"/>
      <c r="X245" s="19">
        <f>IF(B245=0,0,100*(C245+2*H245+3*I245)/B245)</f>
        <v>79.279891304347828</v>
      </c>
      <c r="Y245" s="19">
        <f>IF(C245=0,0,(J245+K245)/C245)</f>
        <v>0.17808219178082191</v>
      </c>
      <c r="Z245" s="19"/>
      <c r="AA245" s="19">
        <f>MAX(0,MIN(10,5+50*(D245-0.55)+25*(E245-F245)))</f>
        <v>4.4149999999999947</v>
      </c>
      <c r="AB245" s="19">
        <f>MAX(0,MIN(10,0.2*G245+5*Y245))</f>
        <v>6.4304109589041101</v>
      </c>
      <c r="AC245" s="19">
        <f t="shared" si="184"/>
        <v>10</v>
      </c>
      <c r="AD245" s="19">
        <f>MAX(0,MIN(10,2+0.15*G245+4*Y245-0.03*((L245+M245)/2)))</f>
        <v>6.8435372671232875</v>
      </c>
      <c r="AE245" s="19">
        <f>MAX(0,MIN(10,0.15*N245+0.08*O245))</f>
        <v>1.0199E-2</v>
      </c>
      <c r="AF245" s="19"/>
      <c r="AG245" s="19"/>
      <c r="AH245" s="19">
        <f>MAX(0,MIN(10,P245/3.2-2*U245))</f>
        <v>8.6624999999999996</v>
      </c>
      <c r="AI245" s="19">
        <f>10*(0.22*AA245+0.2*AB245+0.18*AC245+0.12*AD245+0.1*AE245+0.13*T245+0.05*AH245)</f>
        <v>59.627515638356158</v>
      </c>
      <c r="AJ245" s="19">
        <f>AI245*V245</f>
        <v>59.627515638356158</v>
      </c>
      <c r="AK245" s="20">
        <f>AJ245*(P245/200)</f>
        <v>8.6459897675616428</v>
      </c>
    </row>
    <row r="246" spans="1:37" x14ac:dyDescent="0.25">
      <c r="A246" t="s">
        <v>294</v>
      </c>
      <c r="B246" s="16">
        <v>0.55600000000000005</v>
      </c>
      <c r="C246" s="16">
        <v>0.54200000000000004</v>
      </c>
      <c r="D246" s="15">
        <v>0.64500000000000002</v>
      </c>
      <c r="E246" s="15">
        <v>0.128</v>
      </c>
      <c r="F246" s="16">
        <v>2.1000000000000001E-2</v>
      </c>
      <c r="G246" s="16">
        <v>0.09</v>
      </c>
      <c r="H246" s="16">
        <v>8.5000000000000006E-2</v>
      </c>
      <c r="I246" s="23">
        <v>1.6E-2</v>
      </c>
      <c r="J246" s="16">
        <v>4.0000000000000001E-3</v>
      </c>
      <c r="K246" s="18">
        <v>0.109</v>
      </c>
      <c r="L246" s="16">
        <v>0.24</v>
      </c>
      <c r="M246" s="15">
        <v>111.8</v>
      </c>
      <c r="N246" s="15">
        <v>88.2</v>
      </c>
      <c r="O246" s="15">
        <v>0.185</v>
      </c>
      <c r="P246" s="15">
        <v>5.6</v>
      </c>
      <c r="Q246" s="15">
        <v>1.3</v>
      </c>
      <c r="R246" s="15">
        <v>6.9</v>
      </c>
      <c r="S246" s="15">
        <v>3</v>
      </c>
      <c r="T246" s="15">
        <v>4.5</v>
      </c>
      <c r="U246" s="15">
        <v>0.2</v>
      </c>
      <c r="V246" s="15">
        <v>0.96</v>
      </c>
      <c r="W246" s="15">
        <v>0.95</v>
      </c>
      <c r="X246" s="19">
        <f t="shared" ref="X246" si="199">MAX(0,MIN(100,0.45*M246+0.6*H246+0.35*L246-0.2*K246-15))</f>
        <v>35.423200000000008</v>
      </c>
      <c r="Y246" s="19">
        <f t="shared" ref="Y246" si="200">MAX(0,MIN(1,0.012*L246+0.025*P246+0.3*E246+0.2*D246-0.18))</f>
        <v>0.13028000000000001</v>
      </c>
      <c r="Z246" s="19">
        <f t="shared" ref="Z246" si="201">MAX(0,MIN(10,1+0.45*R246+30*O246+0.04*(M246-N246)))</f>
        <v>10</v>
      </c>
      <c r="AA246" s="19">
        <f t="shared" ref="AA246" si="202">MAX(0,MIN(10,3+20*(B246-0.52)+15*(C246-0.5)+0.06*(M246-100)))</f>
        <v>5.0580000000000016</v>
      </c>
      <c r="AB246" s="19">
        <f t="shared" ref="AB246" si="203">MAX(0,MIN(10,0.16*L246+0.55*P246+4*E246))</f>
        <v>3.6304000000000003</v>
      </c>
      <c r="AC246" s="19">
        <f t="shared" ref="AC246" si="204">MAX(0,MIN(10,2+0.22*H246-0.12*K246+0.15*P246))</f>
        <v>2.8456199999999998</v>
      </c>
      <c r="AD246" s="19">
        <f t="shared" ref="AD246" si="205">MAX(0,MIN(10,2+0.28*P246+0.1*L246+2*D246+1.5*E246))</f>
        <v>5.0739999999999998</v>
      </c>
      <c r="AE246" s="19">
        <f t="shared" ref="AE246" si="206">MAX(0,MIN(10,0.18*F246+0.08*G246))</f>
        <v>1.098E-2</v>
      </c>
      <c r="AF246" s="19">
        <f t="shared" ref="AF246" si="207">MAX(0,MIN(10,4+0.3*Q246+0.6*I246+0.5*J246+0.03*(105-N246)))</f>
        <v>4.9055999999999989</v>
      </c>
      <c r="AG246" s="19">
        <f t="shared" ref="AG246" si="208">0.6*AF246+0.4*T246</f>
        <v>4.7433599999999991</v>
      </c>
      <c r="AH246" s="19">
        <f t="shared" ref="AH246" si="209">MAX(0,MIN(10,S246/3.2-2*U246))</f>
        <v>0.53749999999999998</v>
      </c>
      <c r="AI246" s="19">
        <f t="shared" ref="AI246" si="210">10*(0.18*Z246+0.17*AA246+0.15*AB246+0.14*AC246+0.1*AD246+0.08*AE246+0.1*AG246+0.08*AH246)</f>
        <v>46.284212000000011</v>
      </c>
      <c r="AJ246" s="19">
        <f t="shared" ref="AJ246" si="211">AI246*V246*W246</f>
        <v>42.211201344000003</v>
      </c>
      <c r="AK246" s="20">
        <f t="shared" ref="AK246" si="212">AJ246*(P246/200)</f>
        <v>1.1819136376319999</v>
      </c>
    </row>
    <row r="247" spans="1:37" x14ac:dyDescent="0.25">
      <c r="A247" t="s">
        <v>295</v>
      </c>
      <c r="B247" s="15">
        <v>1189</v>
      </c>
      <c r="C247" s="15">
        <v>159</v>
      </c>
      <c r="D247" s="16">
        <v>0.56789999999999996</v>
      </c>
      <c r="E247" s="16">
        <v>0.5726</v>
      </c>
      <c r="F247" s="15">
        <v>0.5</v>
      </c>
      <c r="G247" s="15">
        <v>11.26</v>
      </c>
      <c r="H247" s="15">
        <v>102</v>
      </c>
      <c r="I247" s="17">
        <v>0</v>
      </c>
      <c r="J247" s="15">
        <v>40</v>
      </c>
      <c r="K247" s="15">
        <v>0</v>
      </c>
      <c r="L247" s="16">
        <v>0.71830000000000005</v>
      </c>
      <c r="M247" s="18">
        <v>0</v>
      </c>
      <c r="N247" s="16">
        <v>0.13159999999999999</v>
      </c>
      <c r="O247" s="16">
        <v>0.18840000000000001</v>
      </c>
      <c r="P247" s="15">
        <v>18</v>
      </c>
      <c r="Q247" s="15"/>
      <c r="R247" s="15"/>
      <c r="S247" s="15"/>
      <c r="T247" s="15">
        <v>7.5</v>
      </c>
      <c r="U247" s="15">
        <v>0.2</v>
      </c>
      <c r="V247" s="15">
        <v>1</v>
      </c>
      <c r="W247" s="15"/>
      <c r="X247" s="19">
        <f>IF(B247=0,0,100*(C247+2*H247+3*I247)/B247)</f>
        <v>30.529857022708157</v>
      </c>
      <c r="Y247" s="19">
        <f>IF(C247=0,0,(J247+K247)/C247)</f>
        <v>0.25157232704402516</v>
      </c>
      <c r="Z247" s="19"/>
      <c r="AA247" s="19">
        <f>MAX(0,MIN(10,5+50*(D247-0.55)+25*(E247-F247)))</f>
        <v>7.7099999999999955</v>
      </c>
      <c r="AB247" s="19">
        <f>MAX(0,MIN(10,0.2*G247+5*Y247))</f>
        <v>3.5098616352201262</v>
      </c>
      <c r="AC247" s="19">
        <f t="shared" ref="AC247:AC258" si="213">MAX(0,MIN(10,X247/4))</f>
        <v>7.6324642556770392</v>
      </c>
      <c r="AD247" s="19">
        <f>MAX(0,MIN(10,2+0.15*G247+4*Y247-0.03*((L247+M247)/2)))</f>
        <v>4.6845148081761003</v>
      </c>
      <c r="AE247" s="19">
        <f>MAX(0,MIN(10,0.15*N247+0.08*O247))</f>
        <v>3.4811999999999996E-2</v>
      </c>
      <c r="AF247" s="19"/>
      <c r="AG247" s="19"/>
      <c r="AH247" s="19">
        <f>MAX(0,MIN(10,P247/3.2-2*U247))</f>
        <v>5.2249999999999996</v>
      </c>
      <c r="AI247" s="19">
        <f>10*(0.22*AA247+0.2*AB247+0.18*AC247+0.12*AD247+0.1*AE247+0.13*T247+0.05*AH247)</f>
        <v>55.738888700470248</v>
      </c>
      <c r="AJ247" s="19">
        <f>AI247*V247</f>
        <v>55.738888700470248</v>
      </c>
      <c r="AK247" s="20">
        <f>AJ247*(P247/200)</f>
        <v>5.0164999830423218</v>
      </c>
    </row>
    <row r="248" spans="1:37" x14ac:dyDescent="0.25">
      <c r="A248" t="s">
        <v>296</v>
      </c>
      <c r="B248" s="15">
        <v>357</v>
      </c>
      <c r="C248" s="15">
        <v>35</v>
      </c>
      <c r="D248" s="16">
        <v>0.38040000000000002</v>
      </c>
      <c r="E248" s="16">
        <v>0.34520000000000001</v>
      </c>
      <c r="F248" s="15">
        <v>0.49</v>
      </c>
      <c r="G248" s="15">
        <v>13.32</v>
      </c>
      <c r="H248" s="15">
        <v>2</v>
      </c>
      <c r="I248" s="17">
        <v>27</v>
      </c>
      <c r="J248" s="15">
        <v>0</v>
      </c>
      <c r="K248" s="15">
        <v>0</v>
      </c>
      <c r="L248" s="16">
        <v>1</v>
      </c>
      <c r="M248" s="18">
        <v>1</v>
      </c>
      <c r="N248" s="16">
        <v>3.4299999999999997E-2</v>
      </c>
      <c r="O248" s="16">
        <v>4.24E-2</v>
      </c>
      <c r="P248" s="15">
        <v>7</v>
      </c>
      <c r="Q248" s="15"/>
      <c r="R248" s="15"/>
      <c r="S248" s="15"/>
      <c r="T248" s="15">
        <v>3</v>
      </c>
      <c r="U248" s="15">
        <v>0.2</v>
      </c>
      <c r="V248" s="15">
        <v>0.98</v>
      </c>
      <c r="W248" s="15"/>
      <c r="X248" s="19">
        <f>IF(B248=0,0,100*(C248+2*H248+3*I248)/B248)</f>
        <v>33.613445378151262</v>
      </c>
      <c r="Y248" s="19">
        <f>IF(C248=0,0,(J248+K248)/C248)</f>
        <v>0</v>
      </c>
      <c r="Z248" s="19"/>
      <c r="AA248" s="19">
        <f>MAX(0,MIN(10,5+50*(D248-0.55)+25*(E248-F248)))</f>
        <v>0</v>
      </c>
      <c r="AB248" s="19">
        <f>MAX(0,MIN(10,0.2*G248+5*Y248))</f>
        <v>2.6640000000000001</v>
      </c>
      <c r="AC248" s="19">
        <f t="shared" si="213"/>
        <v>8.4033613445378155</v>
      </c>
      <c r="AD248" s="19">
        <f>MAX(0,MIN(10,2+0.15*G248+4*Y248-0.03*((L248+M248)/2)))</f>
        <v>3.9680000000000004</v>
      </c>
      <c r="AE248" s="19">
        <f>MAX(0,MIN(10,0.15*N248+0.08*O248))</f>
        <v>8.5369999999999994E-3</v>
      </c>
      <c r="AF248" s="19"/>
      <c r="AG248" s="19"/>
      <c r="AH248" s="19">
        <f>MAX(0,MIN(10,P248/3.2-2*U248))</f>
        <v>1.7875000000000001</v>
      </c>
      <c r="AI248" s="19">
        <f>10*(0.22*AA248+0.2*AB248+0.18*AC248+0.12*AD248+0.1*AE248+0.13*T248+0.05*AH248)</f>
        <v>30.017937420168067</v>
      </c>
      <c r="AJ248" s="19">
        <f>AI248*V248</f>
        <v>29.417578671764705</v>
      </c>
      <c r="AK248" s="20">
        <f>AJ248*(P248/200)</f>
        <v>1.0296152535117649</v>
      </c>
    </row>
    <row r="249" spans="1:37" x14ac:dyDescent="0.25">
      <c r="A249" t="s">
        <v>297</v>
      </c>
      <c r="B249" s="15">
        <v>1696</v>
      </c>
      <c r="C249" s="15">
        <v>315</v>
      </c>
      <c r="D249" s="16">
        <v>0.55459999999999998</v>
      </c>
      <c r="E249" s="16">
        <v>0.52070000000000005</v>
      </c>
      <c r="F249" s="15">
        <v>0.49</v>
      </c>
      <c r="G249" s="15">
        <v>17.329999999999998</v>
      </c>
      <c r="H249" s="15">
        <v>72</v>
      </c>
      <c r="I249" s="17">
        <v>138</v>
      </c>
      <c r="J249" s="15">
        <v>58</v>
      </c>
      <c r="K249" s="15">
        <v>9</v>
      </c>
      <c r="L249" s="16">
        <v>0.55379999999999996</v>
      </c>
      <c r="M249" s="18">
        <v>0.93879999999999997</v>
      </c>
      <c r="N249" s="16">
        <v>2.98E-2</v>
      </c>
      <c r="O249" s="16">
        <v>7.85E-2</v>
      </c>
      <c r="P249" s="15">
        <v>23</v>
      </c>
      <c r="Q249" s="15"/>
      <c r="R249" s="15"/>
      <c r="S249" s="15"/>
      <c r="T249" s="15">
        <v>4</v>
      </c>
      <c r="U249" s="15">
        <v>0.2</v>
      </c>
      <c r="V249" s="15">
        <v>1</v>
      </c>
      <c r="W249" s="15"/>
      <c r="X249" s="19">
        <f>IF(B249=0,0,100*(C249+2*H249+3*I249)/B249)</f>
        <v>51.474056603773583</v>
      </c>
      <c r="Y249" s="19">
        <f>IF(C249=0,0,(J249+K249)/C249)</f>
        <v>0.21269841269841269</v>
      </c>
      <c r="Z249" s="19"/>
      <c r="AA249" s="19">
        <f>MAX(0,MIN(10,5+50*(D249-0.55)+25*(E249-F249)))</f>
        <v>5.9974999999999987</v>
      </c>
      <c r="AB249" s="19">
        <f>MAX(0,MIN(10,0.2*G249+5*Y249))</f>
        <v>4.5294920634920635</v>
      </c>
      <c r="AC249" s="19">
        <f t="shared" si="213"/>
        <v>10</v>
      </c>
      <c r="AD249" s="19">
        <f>MAX(0,MIN(10,2+0.15*G249+4*Y249-0.03*((L249+M249)/2)))</f>
        <v>5.427904650793649</v>
      </c>
      <c r="AE249" s="19">
        <f>MAX(0,MIN(10,0.15*N249+0.08*O249))</f>
        <v>1.0749999999999999E-2</v>
      </c>
      <c r="AF249" s="19"/>
      <c r="AG249" s="19"/>
      <c r="AH249" s="19">
        <f>MAX(0,MIN(10,P249/3.2-2*U249))</f>
        <v>6.7874999999999996</v>
      </c>
      <c r="AI249" s="19">
        <f>10*(0.22*AA249+0.2*AB249+0.18*AC249+0.12*AD249+0.1*AE249+0.13*T249+0.05*AH249)</f>
        <v>55.371469707936512</v>
      </c>
      <c r="AJ249" s="19">
        <f>AI249*V249</f>
        <v>55.371469707936512</v>
      </c>
      <c r="AK249" s="20">
        <f>AJ249*(P249/200)</f>
        <v>6.3677190164126989</v>
      </c>
    </row>
    <row r="250" spans="1:37" x14ac:dyDescent="0.25">
      <c r="A250" t="s">
        <v>298</v>
      </c>
      <c r="B250" s="16">
        <v>0.47399999999999998</v>
      </c>
      <c r="C250" s="16">
        <v>0.46800000000000003</v>
      </c>
      <c r="D250" s="15">
        <v>0.747</v>
      </c>
      <c r="E250" s="15">
        <v>8.8999999999999996E-2</v>
      </c>
      <c r="F250" s="16">
        <v>9.1999999999999998E-2</v>
      </c>
      <c r="G250" s="16">
        <v>0.19800000000000001</v>
      </c>
      <c r="H250" s="16">
        <v>0.123</v>
      </c>
      <c r="I250" s="23">
        <v>1.2E-2</v>
      </c>
      <c r="J250" s="16">
        <v>5.8999999999999997E-2</v>
      </c>
      <c r="K250" s="18">
        <v>0.154</v>
      </c>
      <c r="L250" s="16">
        <v>0.187</v>
      </c>
      <c r="M250" s="15">
        <v>104.4</v>
      </c>
      <c r="N250" s="15">
        <v>82.1</v>
      </c>
      <c r="O250" s="15">
        <v>0.182</v>
      </c>
      <c r="P250" s="15">
        <v>5.4</v>
      </c>
      <c r="Q250" s="15">
        <v>4.7</v>
      </c>
      <c r="R250" s="15">
        <v>10.1</v>
      </c>
      <c r="S250" s="15">
        <v>3</v>
      </c>
      <c r="T250" s="15">
        <v>6</v>
      </c>
      <c r="U250" s="15">
        <v>0.2</v>
      </c>
      <c r="V250" s="15">
        <v>0.92</v>
      </c>
      <c r="W250" s="15">
        <v>0.89</v>
      </c>
      <c r="X250" s="19">
        <f t="shared" ref="X250" si="214">MAX(0,MIN(100,0.45*M250+0.6*H250+0.35*L250-0.2*K250-15))</f>
        <v>32.088450000000002</v>
      </c>
      <c r="Y250" s="19">
        <f t="shared" ref="Y250" si="215">MAX(0,MIN(1,0.012*L250+0.025*P250+0.3*E250+0.2*D250-0.18))</f>
        <v>0.13334400000000002</v>
      </c>
      <c r="Z250" s="19">
        <f t="shared" ref="Z250" si="216">MAX(0,MIN(10,1+0.45*R250+30*O250+0.04*(M250-N250)))</f>
        <v>10</v>
      </c>
      <c r="AA250" s="19">
        <f t="shared" ref="AA250" si="217">MAX(0,MIN(10,3+20*(B250-0.52)+15*(C250-0.5)+0.06*(M250-100)))</f>
        <v>1.8639999999999999</v>
      </c>
      <c r="AB250" s="19">
        <f t="shared" ref="AB250" si="218">MAX(0,MIN(10,0.16*L250+0.55*P250+4*E250))</f>
        <v>3.3559200000000007</v>
      </c>
      <c r="AC250" s="19">
        <f t="shared" ref="AC250" si="219">MAX(0,MIN(10,2+0.22*H250-0.12*K250+0.15*P250))</f>
        <v>2.8185800000000003</v>
      </c>
      <c r="AD250" s="19">
        <f t="shared" ref="AD250" si="220">MAX(0,MIN(10,2+0.28*P250+0.1*L250+2*D250+1.5*E250))</f>
        <v>5.1581999999999999</v>
      </c>
      <c r="AE250" s="19">
        <f t="shared" ref="AE250" si="221">MAX(0,MIN(10,0.18*F250+0.08*G250))</f>
        <v>3.2399999999999998E-2</v>
      </c>
      <c r="AF250" s="19">
        <f t="shared" ref="AF250" si="222">MAX(0,MIN(10,4+0.3*Q250+0.6*I250+0.5*J250+0.03*(105-N250)))</f>
        <v>6.1337000000000002</v>
      </c>
      <c r="AG250" s="19">
        <f t="shared" ref="AG250" si="223">0.6*AF250+0.4*T250</f>
        <v>6.0802200000000006</v>
      </c>
      <c r="AH250" s="19">
        <f t="shared" ref="AH250" si="224">MAX(0,MIN(10,S250/3.2-2*U250))</f>
        <v>0.53749999999999998</v>
      </c>
      <c r="AI250" s="19">
        <f t="shared" ref="AI250" si="225">10*(0.18*Z250+0.17*AA250+0.15*AB250+0.14*AC250+0.1*AD250+0.08*AE250+0.1*AG250+0.08*AH250)</f>
        <v>41.843031999999994</v>
      </c>
      <c r="AJ250" s="19">
        <f t="shared" ref="AJ250" si="226">AI250*V250*W250</f>
        <v>34.261074601600001</v>
      </c>
      <c r="AK250" s="20">
        <f t="shared" ref="AK250" si="227">AJ250*(P250/200)</f>
        <v>0.92504901424320007</v>
      </c>
    </row>
    <row r="251" spans="1:37" x14ac:dyDescent="0.25">
      <c r="A251" t="s">
        <v>299</v>
      </c>
      <c r="B251" s="15">
        <v>14</v>
      </c>
      <c r="C251" s="15">
        <v>0</v>
      </c>
      <c r="D251" s="16">
        <v>0</v>
      </c>
      <c r="E251" s="16">
        <v>0</v>
      </c>
      <c r="F251" s="15">
        <v>0.35</v>
      </c>
      <c r="G251" s="15">
        <v>10.53</v>
      </c>
      <c r="H251" s="15">
        <v>0</v>
      </c>
      <c r="I251" s="17">
        <v>0</v>
      </c>
      <c r="J251" s="15">
        <v>0</v>
      </c>
      <c r="K251" s="15">
        <v>0</v>
      </c>
      <c r="L251" s="16">
        <v>0</v>
      </c>
      <c r="M251" s="18">
        <v>0</v>
      </c>
      <c r="N251" s="16">
        <v>0.1111</v>
      </c>
      <c r="O251" s="16">
        <v>0.375</v>
      </c>
      <c r="P251" s="15">
        <v>4</v>
      </c>
      <c r="Q251" s="15"/>
      <c r="R251" s="15"/>
      <c r="S251" s="15"/>
      <c r="T251" s="15">
        <v>8</v>
      </c>
      <c r="U251" s="15">
        <v>0.2</v>
      </c>
      <c r="V251" s="15">
        <v>0.96</v>
      </c>
      <c r="W251" s="15"/>
      <c r="X251" s="19">
        <f>IF(B251=0,0,100*(C251+2*H251+3*I251)/B251)</f>
        <v>0</v>
      </c>
      <c r="Y251" s="19">
        <f>IF(C251=0,0,(J251+K251)/C251)</f>
        <v>0</v>
      </c>
      <c r="Z251" s="19"/>
      <c r="AA251" s="19">
        <f>MAX(0,MIN(10,5+50*(D251-0.55)+25*(E251-F251)))</f>
        <v>0</v>
      </c>
      <c r="AB251" s="19">
        <f>MAX(0,MIN(10,0.2*G251+5*Y251))</f>
        <v>2.1059999999999999</v>
      </c>
      <c r="AC251" s="19">
        <f t="shared" si="213"/>
        <v>0</v>
      </c>
      <c r="AD251" s="19">
        <f>MAX(0,MIN(10,2+0.15*G251+4*Y251-0.03*((L251+M251)/2)))</f>
        <v>3.5794999999999999</v>
      </c>
      <c r="AE251" s="19">
        <f>MAX(0,MIN(10,0.15*N251+0.08*O251))</f>
        <v>4.6664999999999998E-2</v>
      </c>
      <c r="AF251" s="19"/>
      <c r="AG251" s="19"/>
      <c r="AH251" s="19">
        <f>MAX(0,MIN(10,P251/3.2-2*U251))</f>
        <v>0.85</v>
      </c>
      <c r="AI251" s="19">
        <f>10*(0.22*AA251+0.2*AB251+0.18*AC251+0.12*AD251+0.1*AE251+0.13*T251+0.05*AH251)</f>
        <v>19.379065000000001</v>
      </c>
      <c r="AJ251" s="19">
        <f>AI251*V251</f>
        <v>18.603902399999999</v>
      </c>
      <c r="AK251" s="20">
        <f>AJ251*(P251/200)</f>
        <v>0.37207804799999999</v>
      </c>
    </row>
    <row r="252" spans="1:37" x14ac:dyDescent="0.25">
      <c r="A252" t="s">
        <v>300</v>
      </c>
      <c r="B252" s="15">
        <v>1517</v>
      </c>
      <c r="C252" s="15">
        <v>325</v>
      </c>
      <c r="D252" s="16">
        <v>0.54590000000000005</v>
      </c>
      <c r="E252" s="16">
        <v>0.4864</v>
      </c>
      <c r="F252" s="15">
        <v>0.5</v>
      </c>
      <c r="G252" s="15">
        <v>18.739999999999998</v>
      </c>
      <c r="H252" s="15">
        <v>98</v>
      </c>
      <c r="I252" s="17">
        <v>105</v>
      </c>
      <c r="J252" s="15">
        <v>32</v>
      </c>
      <c r="K252" s="15">
        <v>15</v>
      </c>
      <c r="L252" s="16">
        <v>0.75380000000000003</v>
      </c>
      <c r="M252" s="18">
        <v>0.875</v>
      </c>
      <c r="N252" s="16">
        <v>3.8300000000000001E-2</v>
      </c>
      <c r="O252" s="16">
        <v>0.14069999999999999</v>
      </c>
      <c r="P252" s="15">
        <v>25</v>
      </c>
      <c r="Q252" s="15"/>
      <c r="R252" s="15"/>
      <c r="S252" s="15"/>
      <c r="T252" s="15">
        <v>6.5</v>
      </c>
      <c r="U252" s="15">
        <v>0.2</v>
      </c>
      <c r="V252" s="15">
        <v>1</v>
      </c>
      <c r="W252" s="15"/>
      <c r="X252" s="19">
        <f>IF(B252=0,0,100*(C252+2*H252+3*I252)/B252)</f>
        <v>55.108767303889252</v>
      </c>
      <c r="Y252" s="19">
        <f>IF(C252=0,0,(J252+K252)/C252)</f>
        <v>0.14461538461538462</v>
      </c>
      <c r="Z252" s="19"/>
      <c r="AA252" s="19">
        <f>MAX(0,MIN(10,5+50*(D252-0.55)+25*(E252-F252)))</f>
        <v>4.4550000000000001</v>
      </c>
      <c r="AB252" s="19">
        <f>MAX(0,MIN(10,0.2*G252+5*Y252))</f>
        <v>4.4710769230769225</v>
      </c>
      <c r="AC252" s="19">
        <f t="shared" si="213"/>
        <v>10</v>
      </c>
      <c r="AD252" s="19">
        <f>MAX(0,MIN(10,2+0.15*G252+4*Y252-0.03*((L252+M252)/2)))</f>
        <v>5.3650295384615383</v>
      </c>
      <c r="AE252" s="19">
        <f>MAX(0,MIN(10,0.15*N252+0.08*O252))</f>
        <v>1.7001000000000002E-2</v>
      </c>
      <c r="AF252" s="19"/>
      <c r="AG252" s="19"/>
      <c r="AH252" s="19">
        <f>MAX(0,MIN(10,P252/3.2-2*U252))</f>
        <v>7.4124999999999996</v>
      </c>
      <c r="AI252" s="19">
        <f>10*(0.22*AA252+0.2*AB252+0.18*AC252+0.12*AD252+0.1*AE252+0.13*T252+0.05*AH252)</f>
        <v>55.354440292307686</v>
      </c>
      <c r="AJ252" s="19">
        <f>AI252*V252</f>
        <v>55.354440292307686</v>
      </c>
      <c r="AK252" s="20">
        <f>AJ252*(P252/200)</f>
        <v>6.9193050365384607</v>
      </c>
    </row>
    <row r="253" spans="1:37" x14ac:dyDescent="0.25">
      <c r="A253" t="s">
        <v>301</v>
      </c>
      <c r="B253" s="15">
        <v>210</v>
      </c>
      <c r="C253" s="15">
        <v>45</v>
      </c>
      <c r="D253" s="16">
        <v>0.53569999999999995</v>
      </c>
      <c r="E253" s="16">
        <v>0.53749999999999998</v>
      </c>
      <c r="F253" s="15">
        <v>0.48</v>
      </c>
      <c r="G253" s="15">
        <v>20.34</v>
      </c>
      <c r="H253" s="15">
        <v>10</v>
      </c>
      <c r="I253" s="17">
        <v>21</v>
      </c>
      <c r="J253" s="15">
        <v>6</v>
      </c>
      <c r="K253" s="15">
        <v>6</v>
      </c>
      <c r="L253" s="16">
        <v>0.625</v>
      </c>
      <c r="M253" s="18">
        <v>0.77780000000000005</v>
      </c>
      <c r="N253" s="16">
        <v>0</v>
      </c>
      <c r="O253" s="16">
        <v>8.6199999999999999E-2</v>
      </c>
      <c r="P253" s="15">
        <v>9</v>
      </c>
      <c r="Q253" s="15"/>
      <c r="R253" s="15"/>
      <c r="S253" s="15"/>
      <c r="T253" s="15">
        <v>4.5</v>
      </c>
      <c r="U253" s="15">
        <v>0.2</v>
      </c>
      <c r="V253" s="15">
        <v>0.98</v>
      </c>
      <c r="W253" s="15"/>
      <c r="X253" s="19">
        <f>IF(B253=0,0,100*(C253+2*H253+3*I253)/B253)</f>
        <v>60.952380952380949</v>
      </c>
      <c r="Y253" s="19">
        <f>IF(C253=0,0,(J253+K253)/C253)</f>
        <v>0.26666666666666666</v>
      </c>
      <c r="Z253" s="19"/>
      <c r="AA253" s="19">
        <f>MAX(0,MIN(10,5+50*(D253-0.55)+25*(E253-F253)))</f>
        <v>5.7224999999999957</v>
      </c>
      <c r="AB253" s="19">
        <f>MAX(0,MIN(10,0.2*G253+5*Y253))</f>
        <v>5.4013333333333335</v>
      </c>
      <c r="AC253" s="19">
        <f t="shared" si="213"/>
        <v>10</v>
      </c>
      <c r="AD253" s="19">
        <f>MAX(0,MIN(10,2+0.15*G253+4*Y253-0.03*((L253+M253)/2)))</f>
        <v>6.096624666666667</v>
      </c>
      <c r="AE253" s="19">
        <f>MAX(0,MIN(10,0.15*N253+0.08*O253))</f>
        <v>6.8960000000000002E-3</v>
      </c>
      <c r="AF253" s="19"/>
      <c r="AG253" s="19"/>
      <c r="AH253" s="19">
        <f>MAX(0,MIN(10,P253/3.2-2*U253))</f>
        <v>2.4125000000000001</v>
      </c>
      <c r="AI253" s="19">
        <f>10*(0.22*AA253+0.2*AB253+0.18*AC253+0.12*AD253+0.1*AE253+0.13*T253+0.05*AH253)</f>
        <v>55.771262266666668</v>
      </c>
      <c r="AJ253" s="19">
        <f>AI253*V253</f>
        <v>54.655837021333333</v>
      </c>
      <c r="AK253" s="20">
        <f>AJ253*(P253/200)</f>
        <v>2.4595126659599997</v>
      </c>
    </row>
    <row r="254" spans="1:37" x14ac:dyDescent="0.25">
      <c r="A254" t="s">
        <v>302</v>
      </c>
      <c r="B254" s="15">
        <v>1588</v>
      </c>
      <c r="C254" s="15">
        <v>221</v>
      </c>
      <c r="D254" s="16">
        <v>0.48049999999999998</v>
      </c>
      <c r="E254" s="16">
        <v>0.45579999999999998</v>
      </c>
      <c r="F254" s="15">
        <v>0.53</v>
      </c>
      <c r="G254" s="15">
        <v>14.14</v>
      </c>
      <c r="H254" s="15">
        <v>48</v>
      </c>
      <c r="I254" s="17">
        <v>126</v>
      </c>
      <c r="J254" s="15">
        <v>22</v>
      </c>
      <c r="K254" s="15">
        <v>0</v>
      </c>
      <c r="L254" s="16">
        <v>0.68569999999999998</v>
      </c>
      <c r="M254" s="18">
        <v>1</v>
      </c>
      <c r="N254" s="16">
        <v>3.7199999999999997E-2</v>
      </c>
      <c r="O254" s="16">
        <v>0.1003</v>
      </c>
      <c r="P254" s="15">
        <v>19</v>
      </c>
      <c r="Q254" s="15"/>
      <c r="R254" s="15"/>
      <c r="S254" s="15"/>
      <c r="T254" s="15">
        <v>5</v>
      </c>
      <c r="U254" s="15">
        <v>0.2</v>
      </c>
      <c r="V254" s="15">
        <v>1</v>
      </c>
      <c r="W254" s="15"/>
      <c r="X254" s="19">
        <f>IF(B254=0,0,100*(C254+2*H254+3*I254)/B254)</f>
        <v>43.765743073047858</v>
      </c>
      <c r="Y254" s="19">
        <f>IF(C254=0,0,(J254+K254)/C254)</f>
        <v>9.9547511312217188E-2</v>
      </c>
      <c r="Z254" s="19"/>
      <c r="AA254" s="19">
        <f>MAX(0,MIN(10,5+50*(D254-0.55)+25*(E254-F254)))</f>
        <v>0</v>
      </c>
      <c r="AB254" s="19">
        <f>MAX(0,MIN(10,0.2*G254+5*Y254))</f>
        <v>3.3257375565610863</v>
      </c>
      <c r="AC254" s="19">
        <f t="shared" si="213"/>
        <v>10</v>
      </c>
      <c r="AD254" s="19">
        <f>MAX(0,MIN(10,2+0.15*G254+4*Y254-0.03*((L254+M254)/2)))</f>
        <v>4.4939045452488697</v>
      </c>
      <c r="AE254" s="19">
        <f>MAX(0,MIN(10,0.15*N254+0.08*O254))</f>
        <v>1.3603999999999998E-2</v>
      </c>
      <c r="AF254" s="19"/>
      <c r="AG254" s="19"/>
      <c r="AH254" s="19">
        <f>MAX(0,MIN(10,P254/3.2-2*U254))</f>
        <v>5.5374999999999996</v>
      </c>
      <c r="AI254" s="19">
        <f>10*(0.22*AA254+0.2*AB254+0.18*AC254+0.12*AD254+0.1*AE254+0.13*T254+0.05*AH254)</f>
        <v>39.326514567420809</v>
      </c>
      <c r="AJ254" s="19">
        <f>AI254*V254</f>
        <v>39.326514567420809</v>
      </c>
      <c r="AK254" s="20">
        <f>AJ254*(P254/200)</f>
        <v>3.7360188839049768</v>
      </c>
    </row>
    <row r="255" spans="1:37" x14ac:dyDescent="0.25">
      <c r="A255" t="s">
        <v>303</v>
      </c>
      <c r="B255" s="15">
        <v>2420</v>
      </c>
      <c r="C255" s="15">
        <v>599</v>
      </c>
      <c r="D255" s="16">
        <v>0.57050000000000001</v>
      </c>
      <c r="E255" s="16">
        <v>0.53320000000000001</v>
      </c>
      <c r="F255" s="15">
        <v>0.48</v>
      </c>
      <c r="G255" s="15">
        <v>24.11</v>
      </c>
      <c r="H255" s="15">
        <v>248</v>
      </c>
      <c r="I255" s="17">
        <v>0</v>
      </c>
      <c r="J255" s="15">
        <v>234</v>
      </c>
      <c r="K255" s="15">
        <v>0</v>
      </c>
      <c r="L255" s="16">
        <v>0.51449999999999996</v>
      </c>
      <c r="M255" s="18">
        <v>0</v>
      </c>
      <c r="N255" s="16">
        <v>5.5399999999999998E-2</v>
      </c>
      <c r="O255" s="16">
        <v>0.22700000000000001</v>
      </c>
      <c r="P255" s="15">
        <v>33</v>
      </c>
      <c r="Q255" s="15"/>
      <c r="R255" s="15"/>
      <c r="S255" s="15"/>
      <c r="T255" s="15">
        <v>8</v>
      </c>
      <c r="U255" s="15">
        <v>0.2</v>
      </c>
      <c r="V255" s="15">
        <v>1.03</v>
      </c>
      <c r="W255" s="15"/>
      <c r="X255" s="19">
        <f>IF(B255=0,0,100*(C255+2*H255+3*I255)/B255)</f>
        <v>45.247933884297524</v>
      </c>
      <c r="Y255" s="19">
        <f>IF(C255=0,0,(J255+K255)/C255)</f>
        <v>0.39065108514190316</v>
      </c>
      <c r="Z255" s="19"/>
      <c r="AA255" s="19">
        <f>MAX(0,MIN(10,5+50*(D255-0.55)+25*(E255-F255)))</f>
        <v>7.3549999999999986</v>
      </c>
      <c r="AB255" s="19">
        <f>MAX(0,MIN(10,0.2*G255+5*Y255))</f>
        <v>6.7752554257095161</v>
      </c>
      <c r="AC255" s="19">
        <f t="shared" si="213"/>
        <v>10</v>
      </c>
      <c r="AD255" s="19">
        <f>MAX(0,MIN(10,2+0.15*G255+4*Y255-0.03*((L255+M255)/2)))</f>
        <v>7.1713868405676129</v>
      </c>
      <c r="AE255" s="19">
        <f>MAX(0,MIN(10,0.15*N255+0.08*O255))</f>
        <v>2.647E-2</v>
      </c>
      <c r="AF255" s="19"/>
      <c r="AG255" s="19"/>
      <c r="AH255" s="19">
        <f>MAX(0,MIN(10,P255/3.2-2*U255))</f>
        <v>9.9124999999999996</v>
      </c>
      <c r="AI255" s="19">
        <f>10*(0.22*AA255+0.2*AB255+0.18*AC255+0.12*AD255+0.1*AE255+0.13*T255+0.05*AH255)</f>
        <v>71.719895060100157</v>
      </c>
      <c r="AJ255" s="19">
        <f>AI255*V255</f>
        <v>73.871491911903163</v>
      </c>
      <c r="AK255" s="20">
        <f>AJ255*(P255/200)</f>
        <v>12.188796165464023</v>
      </c>
    </row>
    <row r="256" spans="1:37" x14ac:dyDescent="0.25">
      <c r="A256" t="s">
        <v>304</v>
      </c>
      <c r="B256" s="15">
        <v>3</v>
      </c>
      <c r="C256" s="15">
        <v>0</v>
      </c>
      <c r="D256" s="16">
        <v>0</v>
      </c>
      <c r="E256" s="16">
        <v>0</v>
      </c>
      <c r="F256" s="15">
        <v>0</v>
      </c>
      <c r="G256" s="15">
        <v>0</v>
      </c>
      <c r="H256" s="15">
        <v>0</v>
      </c>
      <c r="I256" s="17">
        <v>0</v>
      </c>
      <c r="J256" s="15">
        <v>0</v>
      </c>
      <c r="K256" s="15">
        <v>0</v>
      </c>
      <c r="L256" s="16">
        <v>0</v>
      </c>
      <c r="M256" s="18">
        <v>0</v>
      </c>
      <c r="N256" s="16">
        <v>0</v>
      </c>
      <c r="O256" s="16">
        <v>0.11409999999999999</v>
      </c>
      <c r="P256" s="15">
        <v>6</v>
      </c>
      <c r="Q256" s="15"/>
      <c r="R256" s="15"/>
      <c r="S256" s="15"/>
      <c r="T256" s="15">
        <v>5</v>
      </c>
      <c r="U256" s="15">
        <v>0.2</v>
      </c>
      <c r="V256" s="15">
        <v>0.96</v>
      </c>
      <c r="W256" s="15"/>
      <c r="X256" s="19">
        <f>IF(B256=0,0,100*(C256+2*H256+3*I256)/B256)</f>
        <v>0</v>
      </c>
      <c r="Y256" s="19">
        <f>IF(C256=0,0,(J256+K256)/C256)</f>
        <v>0</v>
      </c>
      <c r="Z256" s="19"/>
      <c r="AA256" s="19">
        <f>MAX(0,MIN(10,5+50*(D256-0.55)+25*(E256-F256)))</f>
        <v>0</v>
      </c>
      <c r="AB256" s="19">
        <f>MAX(0,MIN(10,0.2*G256+5*Y256))</f>
        <v>0</v>
      </c>
      <c r="AC256" s="19">
        <f t="shared" si="213"/>
        <v>0</v>
      </c>
      <c r="AD256" s="19">
        <f>MAX(0,MIN(10,2+0.15*G256+4*Y256-0.03*((L256+M256)/2)))</f>
        <v>2</v>
      </c>
      <c r="AE256" s="19">
        <f>MAX(0,MIN(10,0.15*N256+0.08*O256))</f>
        <v>9.127999999999999E-3</v>
      </c>
      <c r="AF256" s="19"/>
      <c r="AG256" s="19"/>
      <c r="AH256" s="19">
        <f>MAX(0,MIN(10,P256/3.2-2*U256))</f>
        <v>1.4750000000000001</v>
      </c>
      <c r="AI256" s="19">
        <f>10*(0.22*AA256+0.2*AB256+0.18*AC256+0.12*AD256+0.1*AE256+0.13*T256+0.05*AH256)</f>
        <v>9.6466279999999998</v>
      </c>
      <c r="AJ256" s="19">
        <f>AI256*V256</f>
        <v>9.2607628799999997</v>
      </c>
      <c r="AK256" s="20">
        <f>AJ256*(P256/200)</f>
        <v>0.27782288639999997</v>
      </c>
    </row>
    <row r="257" spans="1:50" x14ac:dyDescent="0.25">
      <c r="A257" t="s">
        <v>305</v>
      </c>
      <c r="B257" s="15">
        <v>56</v>
      </c>
      <c r="C257" s="15">
        <v>4</v>
      </c>
      <c r="D257" s="16">
        <v>0.4</v>
      </c>
      <c r="E257" s="16">
        <v>0.4</v>
      </c>
      <c r="F257" s="15">
        <v>0.53</v>
      </c>
      <c r="G257" s="15">
        <v>10.94</v>
      </c>
      <c r="H257" s="15">
        <v>4</v>
      </c>
      <c r="I257" s="17">
        <v>0</v>
      </c>
      <c r="J257" s="15">
        <v>0</v>
      </c>
      <c r="K257" s="15">
        <v>0</v>
      </c>
      <c r="L257" s="16">
        <v>1</v>
      </c>
      <c r="M257" s="18">
        <v>0</v>
      </c>
      <c r="N257" s="16">
        <v>3.6999999999999998E-2</v>
      </c>
      <c r="O257" s="16">
        <v>0.08</v>
      </c>
      <c r="P257" s="15">
        <v>7</v>
      </c>
      <c r="Q257" s="15"/>
      <c r="R257" s="15"/>
      <c r="S257" s="15"/>
      <c r="T257" s="15">
        <v>5</v>
      </c>
      <c r="U257" s="15">
        <v>0.2</v>
      </c>
      <c r="V257" s="15">
        <v>0.98</v>
      </c>
      <c r="W257" s="15"/>
      <c r="X257" s="19">
        <f>IF(B257=0,0,100*(C257+2*H257+3*I257)/B257)</f>
        <v>21.428571428571427</v>
      </c>
      <c r="Y257" s="19">
        <f>IF(C257=0,0,(J257+K257)/C257)</f>
        <v>0</v>
      </c>
      <c r="Z257" s="19"/>
      <c r="AA257" s="19">
        <f>MAX(0,MIN(10,5+50*(D257-0.55)+25*(E257-F257)))</f>
        <v>0</v>
      </c>
      <c r="AB257" s="19">
        <f>MAX(0,MIN(10,0.2*G257+5*Y257))</f>
        <v>2.1880000000000002</v>
      </c>
      <c r="AC257" s="19">
        <f t="shared" si="213"/>
        <v>5.3571428571428568</v>
      </c>
      <c r="AD257" s="19">
        <f>MAX(0,MIN(10,2+0.15*G257+4*Y257-0.03*((L257+M257)/2)))</f>
        <v>3.6259999999999999</v>
      </c>
      <c r="AE257" s="19">
        <f>MAX(0,MIN(10,0.15*N257+0.08*O257))</f>
        <v>1.1949999999999999E-2</v>
      </c>
      <c r="AF257" s="19"/>
      <c r="AG257" s="19"/>
      <c r="AH257" s="19">
        <f>MAX(0,MIN(10,P257/3.2-2*U257))</f>
        <v>1.7875000000000001</v>
      </c>
      <c r="AI257" s="19">
        <f>10*(0.22*AA257+0.2*AB257+0.18*AC257+0.12*AD257+0.1*AE257+0.13*T257+0.05*AH257)</f>
        <v>25.775757142857142</v>
      </c>
      <c r="AJ257" s="19">
        <f>AI257*V257</f>
        <v>25.260241999999998</v>
      </c>
      <c r="AK257" s="20">
        <f>AJ257*(P257/200)</f>
        <v>0.88410847000000004</v>
      </c>
    </row>
    <row r="258" spans="1:50" x14ac:dyDescent="0.25">
      <c r="A258" t="s">
        <v>306</v>
      </c>
      <c r="B258" s="15">
        <v>2051</v>
      </c>
      <c r="C258" s="15">
        <v>390</v>
      </c>
      <c r="D258" s="16">
        <v>0.54490000000000005</v>
      </c>
      <c r="E258" s="16">
        <v>0.51339999999999997</v>
      </c>
      <c r="F258" s="15">
        <v>0.51</v>
      </c>
      <c r="G258" s="15">
        <v>18.05</v>
      </c>
      <c r="H258" s="15">
        <v>52</v>
      </c>
      <c r="I258" s="17">
        <v>240</v>
      </c>
      <c r="J258" s="15">
        <v>34</v>
      </c>
      <c r="K258" s="15">
        <v>18</v>
      </c>
      <c r="L258" s="16">
        <v>0.60470000000000002</v>
      </c>
      <c r="M258" s="18">
        <v>0.93020000000000003</v>
      </c>
      <c r="N258" s="16">
        <v>1.6199999999999999E-2</v>
      </c>
      <c r="O258" s="16">
        <v>9.9900000000000003E-2</v>
      </c>
      <c r="P258" s="15">
        <v>25</v>
      </c>
      <c r="Q258" s="15"/>
      <c r="R258" s="15"/>
      <c r="S258" s="15"/>
      <c r="T258" s="15">
        <v>5</v>
      </c>
      <c r="U258" s="15">
        <v>0.2</v>
      </c>
      <c r="V258" s="15">
        <v>1</v>
      </c>
      <c r="W258" s="15"/>
      <c r="X258" s="19">
        <f>IF(B258=0,0,100*(C258+2*H258+3*I258)/B258)</f>
        <v>59.190638712823016</v>
      </c>
      <c r="Y258" s="19">
        <f>IF(C258=0,0,(J258+K258)/C258)</f>
        <v>0.13333333333333333</v>
      </c>
      <c r="Z258" s="19"/>
      <c r="AA258" s="19">
        <f>MAX(0,MIN(10,5+50*(D258-0.55)+25*(E258-F258)))</f>
        <v>4.8299999999999992</v>
      </c>
      <c r="AB258" s="19">
        <f>MAX(0,MIN(10,0.2*G258+5*Y258))</f>
        <v>4.2766666666666673</v>
      </c>
      <c r="AC258" s="19">
        <f t="shared" si="213"/>
        <v>10</v>
      </c>
      <c r="AD258" s="19">
        <f>MAX(0,MIN(10,2+0.15*G258+4*Y258-0.03*((L258+M258)/2)))</f>
        <v>5.2178098333333329</v>
      </c>
      <c r="AE258" s="19">
        <f>MAX(0,MIN(10,0.15*N258+0.08*O258))</f>
        <v>1.0422000000000001E-2</v>
      </c>
      <c r="AF258" s="19"/>
      <c r="AG258" s="19"/>
      <c r="AH258" s="19">
        <f>MAX(0,MIN(10,P258/3.2-2*U258))</f>
        <v>7.4124999999999996</v>
      </c>
      <c r="AI258" s="19">
        <f>10*(0.22*AA258+0.2*AB258+0.18*AC258+0.12*AD258+0.1*AE258+0.13*T258+0.05*AH258)</f>
        <v>53.657377133333327</v>
      </c>
      <c r="AJ258" s="19">
        <f>AI258*V258</f>
        <v>53.657377133333327</v>
      </c>
      <c r="AK258" s="20">
        <f>AJ258*(P258/200)</f>
        <v>6.7071721416666659</v>
      </c>
    </row>
    <row r="259" spans="1:50" s="32" customFormat="1" x14ac:dyDescent="0.25">
      <c r="A259" s="31" t="s">
        <v>307</v>
      </c>
      <c r="I259" s="33"/>
      <c r="AK259" s="24">
        <f>SUM(AK235:AK258)</f>
        <v>73.848355811642691</v>
      </c>
      <c r="AL259" s="3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s="6" customFormat="1" x14ac:dyDescent="0.25">
      <c r="A260" s="5"/>
      <c r="B260" s="4" t="s">
        <v>3</v>
      </c>
      <c r="C260" s="4" t="s">
        <v>4</v>
      </c>
      <c r="D260" s="4" t="s">
        <v>5</v>
      </c>
      <c r="E260" s="4" t="s">
        <v>6</v>
      </c>
      <c r="F260" s="4" t="s">
        <v>7</v>
      </c>
      <c r="G260" s="4" t="s">
        <v>8</v>
      </c>
      <c r="H260" s="4" t="s">
        <v>9</v>
      </c>
      <c r="I260" s="9" t="s">
        <v>10</v>
      </c>
      <c r="J260" s="4" t="s">
        <v>11</v>
      </c>
      <c r="K260" s="4" t="s">
        <v>12</v>
      </c>
      <c r="L260" s="4" t="s">
        <v>13</v>
      </c>
      <c r="M260" s="4" t="s">
        <v>14</v>
      </c>
      <c r="N260" s="4" t="s">
        <v>15</v>
      </c>
      <c r="O260" s="4" t="s">
        <v>16</v>
      </c>
      <c r="P260" s="4" t="s">
        <v>17</v>
      </c>
      <c r="Q260" s="4" t="s">
        <v>18</v>
      </c>
      <c r="R260" s="4" t="s">
        <v>19</v>
      </c>
      <c r="S260" s="4" t="s">
        <v>20</v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3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25" t="s">
        <v>308</v>
      </c>
      <c r="B261" s="11" t="s">
        <v>22</v>
      </c>
      <c r="C261" s="11" t="s">
        <v>23</v>
      </c>
      <c r="D261" s="11" t="s">
        <v>3</v>
      </c>
      <c r="E261" s="11" t="s">
        <v>4</v>
      </c>
      <c r="F261" s="11" t="s">
        <v>24</v>
      </c>
      <c r="G261" s="11" t="s">
        <v>25</v>
      </c>
      <c r="H261" s="11" t="s">
        <v>26</v>
      </c>
      <c r="I261" s="12" t="s">
        <v>27</v>
      </c>
      <c r="J261" s="11" t="s">
        <v>28</v>
      </c>
      <c r="K261" s="11" t="s">
        <v>29</v>
      </c>
      <c r="L261" s="11" t="s">
        <v>30</v>
      </c>
      <c r="M261" s="11" t="s">
        <v>31</v>
      </c>
      <c r="N261" s="11" t="s">
        <v>32</v>
      </c>
      <c r="O261" s="11" t="s">
        <v>33</v>
      </c>
      <c r="P261" s="11" t="s">
        <v>20</v>
      </c>
      <c r="Q261" s="11"/>
      <c r="R261" s="11"/>
      <c r="S261" s="11"/>
      <c r="T261" s="11" t="s">
        <v>34</v>
      </c>
      <c r="U261" s="11" t="s">
        <v>35</v>
      </c>
      <c r="V261" s="11" t="s">
        <v>36</v>
      </c>
      <c r="W261" s="11" t="s">
        <v>37</v>
      </c>
      <c r="X261" s="11" t="s">
        <v>38</v>
      </c>
      <c r="Y261" s="11" t="s">
        <v>39</v>
      </c>
      <c r="Z261" s="11" t="s">
        <v>40</v>
      </c>
      <c r="AA261" s="11" t="s">
        <v>41</v>
      </c>
      <c r="AB261" s="11" t="s">
        <v>42</v>
      </c>
      <c r="AC261" s="11" t="s">
        <v>43</v>
      </c>
      <c r="AD261" s="11" t="s">
        <v>44</v>
      </c>
      <c r="AE261" s="11" t="s">
        <v>45</v>
      </c>
      <c r="AF261" s="11" t="s">
        <v>46</v>
      </c>
      <c r="AG261" s="11" t="s">
        <v>47</v>
      </c>
      <c r="AH261" s="11" t="s">
        <v>48</v>
      </c>
      <c r="AI261" s="11" t="s">
        <v>49</v>
      </c>
      <c r="AJ261" s="11" t="s">
        <v>50</v>
      </c>
      <c r="AK261" s="13" t="s">
        <v>51</v>
      </c>
    </row>
    <row r="262" spans="1:50" x14ac:dyDescent="0.25">
      <c r="A262" t="s">
        <v>309</v>
      </c>
      <c r="B262" s="15">
        <v>454</v>
      </c>
      <c r="C262" s="15">
        <v>51</v>
      </c>
      <c r="D262" s="16">
        <v>0.4904</v>
      </c>
      <c r="E262" s="16">
        <v>0.45829999999999999</v>
      </c>
      <c r="F262" s="15">
        <v>0.53</v>
      </c>
      <c r="G262" s="15">
        <v>11.6</v>
      </c>
      <c r="H262" s="15">
        <v>4</v>
      </c>
      <c r="I262" s="17">
        <v>27</v>
      </c>
      <c r="J262" s="15">
        <v>10</v>
      </c>
      <c r="K262" s="15">
        <v>3</v>
      </c>
      <c r="L262" s="16">
        <v>0.28570000000000001</v>
      </c>
      <c r="M262" s="18">
        <v>0.9</v>
      </c>
      <c r="N262" s="16">
        <v>9.7999999999999997E-3</v>
      </c>
      <c r="O262" s="16">
        <v>7.2099999999999997E-2</v>
      </c>
      <c r="P262" s="15">
        <v>10</v>
      </c>
      <c r="Q262" s="15"/>
      <c r="R262" s="15"/>
      <c r="S262" s="15"/>
      <c r="T262" s="15">
        <v>4.5</v>
      </c>
      <c r="U262" s="15">
        <v>0.2</v>
      </c>
      <c r="V262" s="15">
        <v>0.98</v>
      </c>
      <c r="W262" s="15"/>
      <c r="X262" s="19">
        <f>IF(B262=0,0,100*(C262+2*H262+3*I262)/B262)</f>
        <v>30.837004405286343</v>
      </c>
      <c r="Y262" s="19">
        <f>IF(C262=0,0,(J262+K262)/C262)</f>
        <v>0.25490196078431371</v>
      </c>
      <c r="Z262" s="19"/>
      <c r="AA262" s="19">
        <f>MAX(0,MIN(10,5+50*(D262-0.55)+25*(E262-F262)))</f>
        <v>0.2274999999999967</v>
      </c>
      <c r="AB262" s="19">
        <f>MAX(0,MIN(10,0.2*G262+5*Y262))</f>
        <v>3.5945098039215684</v>
      </c>
      <c r="AC262" s="19">
        <f t="shared" ref="AC262:AC280" si="228">MAX(0,MIN(10,X262/4))</f>
        <v>7.7092511013215859</v>
      </c>
      <c r="AD262" s="19">
        <f>MAX(0,MIN(10,2+0.15*G262+4*Y262-0.03*((L262+M262)/2)))</f>
        <v>4.7418223431372555</v>
      </c>
      <c r="AE262" s="19">
        <f>MAX(0,MIN(10,0.15*N262+0.08*O262))</f>
        <v>7.2379999999999996E-3</v>
      </c>
      <c r="AF262" s="19"/>
      <c r="AG262" s="19"/>
      <c r="AH262" s="19">
        <f>MAX(0,MIN(10,P262/3.2-2*U262))</f>
        <v>2.7250000000000001</v>
      </c>
      <c r="AI262" s="19">
        <f>10*(0.22*AA262+0.2*AB262+0.18*AC262+0.12*AD262+0.1*AE262+0.13*T262+0.05*AH262)</f>
        <v>34.476096401986688</v>
      </c>
      <c r="AJ262" s="19">
        <f>AI262*V262</f>
        <v>33.786574473946956</v>
      </c>
      <c r="AK262" s="20">
        <f>AJ262*(P262/200)</f>
        <v>1.689328723697348</v>
      </c>
    </row>
    <row r="263" spans="1:50" x14ac:dyDescent="0.25">
      <c r="A263" t="s">
        <v>310</v>
      </c>
      <c r="B263" s="15">
        <v>1623</v>
      </c>
      <c r="C263" s="15">
        <v>399</v>
      </c>
      <c r="D263" s="16">
        <v>0.59379999999999999</v>
      </c>
      <c r="E263" s="16">
        <v>0.56850000000000001</v>
      </c>
      <c r="F263" s="15">
        <v>0.51</v>
      </c>
      <c r="G263" s="15">
        <v>20.87</v>
      </c>
      <c r="H263" s="15">
        <v>96</v>
      </c>
      <c r="I263" s="17">
        <v>111</v>
      </c>
      <c r="J263" s="15">
        <v>114</v>
      </c>
      <c r="K263" s="15">
        <v>27</v>
      </c>
      <c r="L263" s="16">
        <v>0.45710000000000001</v>
      </c>
      <c r="M263" s="16">
        <v>0.80430000000000001</v>
      </c>
      <c r="N263" s="16">
        <v>1.37E-2</v>
      </c>
      <c r="O263" s="16">
        <v>8.8200000000000001E-2</v>
      </c>
      <c r="P263" s="15">
        <v>22</v>
      </c>
      <c r="Q263" s="15"/>
      <c r="R263" s="15"/>
      <c r="S263" s="15"/>
      <c r="T263" s="15">
        <v>4.5</v>
      </c>
      <c r="U263" s="15">
        <v>0.2</v>
      </c>
      <c r="V263" s="15">
        <v>1</v>
      </c>
      <c r="W263" s="15"/>
      <c r="X263" s="19">
        <f>IF(B263=0,0,100*(C263+2*H263+3*I263)/B263)</f>
        <v>56.931608133086876</v>
      </c>
      <c r="Y263" s="19">
        <f>IF(C263=0,0,(J263+K263)/C263)</f>
        <v>0.35338345864661652</v>
      </c>
      <c r="Z263" s="19"/>
      <c r="AA263" s="19">
        <f>MAX(0,MIN(10,5+50*(D263-0.55)+25*(E263-F263)))</f>
        <v>8.6524999999999981</v>
      </c>
      <c r="AB263" s="19">
        <f>MAX(0,MIN(10,0.2*G263+5*Y263))</f>
        <v>5.9409172932330829</v>
      </c>
      <c r="AC263" s="19">
        <f t="shared" si="228"/>
        <v>10</v>
      </c>
      <c r="AD263" s="19">
        <f>MAX(0,MIN(10,2+0.15*G263+4*Y263-0.03*((L263+M263)/2)))</f>
        <v>6.5251128345864657</v>
      </c>
      <c r="AE263" s="19">
        <f>MAX(0,MIN(10,0.15*N263+0.08*O263))</f>
        <v>9.1109999999999993E-3</v>
      </c>
      <c r="AF263" s="19"/>
      <c r="AG263" s="19"/>
      <c r="AH263" s="19">
        <f>MAX(0,MIN(10,P263/3.2-2*U263))</f>
        <v>6.4749999999999996</v>
      </c>
      <c r="AI263" s="19">
        <f>10*(0.22*AA263+0.2*AB263+0.18*AC263+0.12*AD263+0.1*AE263+0.13*T263+0.05*AH263)</f>
        <v>65.844080987969917</v>
      </c>
      <c r="AJ263" s="19">
        <f>AI263*V263</f>
        <v>65.844080987969917</v>
      </c>
      <c r="AK263" s="20">
        <f>AJ263*(P263/200)</f>
        <v>7.2428489086766907</v>
      </c>
    </row>
    <row r="264" spans="1:50" x14ac:dyDescent="0.25">
      <c r="A264" t="s">
        <v>311</v>
      </c>
      <c r="B264" s="15">
        <v>515</v>
      </c>
      <c r="C264" s="15">
        <v>90</v>
      </c>
      <c r="D264" s="16">
        <v>0.47370000000000001</v>
      </c>
      <c r="E264" s="16">
        <v>0.44640000000000002</v>
      </c>
      <c r="F264" s="15">
        <v>0.5</v>
      </c>
      <c r="G264" s="15">
        <v>20.21</v>
      </c>
      <c r="H264" s="15">
        <v>16</v>
      </c>
      <c r="I264" s="17">
        <v>42</v>
      </c>
      <c r="J264" s="15">
        <v>14</v>
      </c>
      <c r="K264" s="15">
        <v>3</v>
      </c>
      <c r="L264" s="16">
        <v>0.5333</v>
      </c>
      <c r="M264" s="16">
        <v>0.93330000000000002</v>
      </c>
      <c r="N264" s="16">
        <v>2.5600000000000001E-2</v>
      </c>
      <c r="O264" s="16">
        <v>3.5200000000000002E-2</v>
      </c>
      <c r="P264" s="15">
        <v>10</v>
      </c>
      <c r="Q264" s="15"/>
      <c r="R264" s="15"/>
      <c r="S264" s="15"/>
      <c r="T264" s="15">
        <v>2</v>
      </c>
      <c r="U264" s="15">
        <v>0.2</v>
      </c>
      <c r="V264" s="15">
        <v>0.98</v>
      </c>
      <c r="W264" s="15"/>
      <c r="X264" s="19">
        <f>IF(B264=0,0,100*(C264+2*H264+3*I264)/B264)</f>
        <v>48.155339805825243</v>
      </c>
      <c r="Y264" s="19">
        <f>IF(C264=0,0,(J264+K264)/C264)</f>
        <v>0.18888888888888888</v>
      </c>
      <c r="Z264" s="19"/>
      <c r="AA264" s="19">
        <f>MAX(0,MIN(10,5+50*(D264-0.55)+25*(E264-F264)))</f>
        <v>0</v>
      </c>
      <c r="AB264" s="19">
        <f>MAX(0,MIN(10,0.2*G264+5*Y264))</f>
        <v>4.9864444444444453</v>
      </c>
      <c r="AC264" s="19">
        <f t="shared" si="228"/>
        <v>10</v>
      </c>
      <c r="AD264" s="19">
        <f>MAX(0,MIN(10,2+0.15*G264+4*Y264-0.03*((L264+M264)/2)))</f>
        <v>5.7650565555555549</v>
      </c>
      <c r="AE264" s="19">
        <f>MAX(0,MIN(10,0.15*N264+0.08*O264))</f>
        <v>6.6560000000000005E-3</v>
      </c>
      <c r="AF264" s="19"/>
      <c r="AG264" s="19"/>
      <c r="AH264" s="19">
        <f>MAX(0,MIN(10,P264/3.2-2*U264))</f>
        <v>2.7250000000000001</v>
      </c>
      <c r="AI264" s="19">
        <f>10*(0.22*AA264+0.2*AB264+0.18*AC264+0.12*AD264+0.1*AE264+0.13*T264+0.05*AH264)</f>
        <v>38.860112755555555</v>
      </c>
      <c r="AJ264" s="19">
        <f>AI264*V264</f>
        <v>38.082910500444441</v>
      </c>
      <c r="AK264" s="20">
        <f>AJ264*(P264/200)</f>
        <v>1.9041455250222221</v>
      </c>
    </row>
    <row r="265" spans="1:50" x14ac:dyDescent="0.25">
      <c r="A265" t="s">
        <v>312</v>
      </c>
      <c r="B265" s="15">
        <v>114</v>
      </c>
      <c r="C265" s="15">
        <v>10</v>
      </c>
      <c r="D265" s="16">
        <v>0.71430000000000005</v>
      </c>
      <c r="E265" s="16">
        <v>0.71430000000000005</v>
      </c>
      <c r="F265" s="15">
        <v>0.48</v>
      </c>
      <c r="G265" s="15">
        <v>5.69</v>
      </c>
      <c r="H265" s="15">
        <v>8</v>
      </c>
      <c r="I265" s="17">
        <v>0</v>
      </c>
      <c r="J265" s="15">
        <v>2</v>
      </c>
      <c r="K265" s="15">
        <v>0</v>
      </c>
      <c r="L265" s="18">
        <v>0.8</v>
      </c>
      <c r="M265" s="18">
        <v>0</v>
      </c>
      <c r="N265" s="18">
        <v>0.06</v>
      </c>
      <c r="O265" s="16">
        <v>9.5200000000000007E-2</v>
      </c>
      <c r="P265" s="15">
        <v>5</v>
      </c>
      <c r="Q265" s="15"/>
      <c r="R265" s="15"/>
      <c r="S265" s="15"/>
      <c r="T265" s="15">
        <v>5</v>
      </c>
      <c r="U265" s="15">
        <v>0.2</v>
      </c>
      <c r="V265" s="15">
        <v>0.96</v>
      </c>
      <c r="W265" s="15"/>
      <c r="X265" s="19">
        <f>IF(B265=0,0,100*(C265+2*H265+3*I265)/B265)</f>
        <v>22.807017543859651</v>
      </c>
      <c r="Y265" s="19">
        <f>IF(C265=0,0,(J265+K265)/C265)</f>
        <v>0.2</v>
      </c>
      <c r="Z265" s="19"/>
      <c r="AA265" s="19">
        <f>MAX(0,MIN(10,5+50*(D265-0.55)+25*(E265-F265)))</f>
        <v>10</v>
      </c>
      <c r="AB265" s="19">
        <f>MAX(0,MIN(10,0.2*G265+5*Y265))</f>
        <v>2.1379999999999999</v>
      </c>
      <c r="AC265" s="19">
        <f t="shared" si="228"/>
        <v>5.7017543859649127</v>
      </c>
      <c r="AD265" s="19">
        <f>MAX(0,MIN(10,2+0.15*G265+4*Y265-0.03*((L265+M265)/2)))</f>
        <v>3.6415000000000002</v>
      </c>
      <c r="AE265" s="19">
        <f>MAX(0,MIN(10,0.15*N265+0.08*O265))</f>
        <v>1.6615999999999999E-2</v>
      </c>
      <c r="AF265" s="19"/>
      <c r="AG265" s="19"/>
      <c r="AH265" s="19">
        <f>MAX(0,MIN(10,P265/3.2-2*U265))</f>
        <v>1.1625000000000001</v>
      </c>
      <c r="AI265" s="19">
        <f>10*(0.22*AA265+0.2*AB265+0.18*AC265+0.12*AD265+0.1*AE265+0.13*T265+0.05*AH265)</f>
        <v>48.006823894736854</v>
      </c>
      <c r="AJ265" s="19">
        <f>AI265*V265</f>
        <v>46.086550938947376</v>
      </c>
      <c r="AK265" s="20">
        <f>AJ265*(P265/200)</f>
        <v>1.1521637734736845</v>
      </c>
    </row>
    <row r="266" spans="1:50" x14ac:dyDescent="0.25">
      <c r="A266" t="s">
        <v>313</v>
      </c>
      <c r="B266" s="15">
        <v>2349</v>
      </c>
      <c r="C266" s="15">
        <v>353</v>
      </c>
      <c r="D266" s="16">
        <v>0.54479999999999995</v>
      </c>
      <c r="E266" s="16">
        <v>0.51749999999999996</v>
      </c>
      <c r="F266" s="15">
        <v>0.51</v>
      </c>
      <c r="G266" s="15">
        <v>14.03</v>
      </c>
      <c r="H266" s="15">
        <v>198</v>
      </c>
      <c r="I266" s="17">
        <v>42</v>
      </c>
      <c r="J266" s="15">
        <v>56</v>
      </c>
      <c r="K266" s="15">
        <v>0</v>
      </c>
      <c r="L266" s="16">
        <v>0.77949999999999997</v>
      </c>
      <c r="M266" s="18">
        <v>1</v>
      </c>
      <c r="N266" s="16">
        <v>7.5800000000000006E-2</v>
      </c>
      <c r="O266" s="16">
        <v>0.16850000000000001</v>
      </c>
      <c r="P266" s="15">
        <v>30</v>
      </c>
      <c r="Q266" s="15"/>
      <c r="R266" s="15"/>
      <c r="S266" s="15"/>
      <c r="T266" s="15">
        <v>6</v>
      </c>
      <c r="U266" s="15">
        <v>0.2</v>
      </c>
      <c r="V266" s="15">
        <v>1.01</v>
      </c>
      <c r="W266" s="15"/>
      <c r="X266" s="19">
        <f>IF(B266=0,0,100*(C266+2*H266+3*I266)/B266)</f>
        <v>37.249893571732649</v>
      </c>
      <c r="Y266" s="19">
        <f>IF(C266=0,0,(J266+K266)/C266)</f>
        <v>0.15864022662889518</v>
      </c>
      <c r="Z266" s="19"/>
      <c r="AA266" s="19">
        <f>MAX(0,MIN(10,5+50*(D266-0.55)+25*(E266-F266)))</f>
        <v>4.927499999999994</v>
      </c>
      <c r="AB266" s="19">
        <f>MAX(0,MIN(10,0.2*G266+5*Y266))</f>
        <v>3.5992011331444758</v>
      </c>
      <c r="AC266" s="19">
        <f t="shared" si="228"/>
        <v>9.3124733929331622</v>
      </c>
      <c r="AD266" s="19">
        <f>MAX(0,MIN(10,2+0.15*G266+4*Y266-0.03*((L266+M266)/2)))</f>
        <v>4.71236840651558</v>
      </c>
      <c r="AE266" s="19">
        <f>MAX(0,MIN(10,0.15*N266+0.08*O266))</f>
        <v>2.4850000000000001E-2</v>
      </c>
      <c r="AF266" s="19"/>
      <c r="AG266" s="19"/>
      <c r="AH266" s="19">
        <f>MAX(0,MIN(10,P266/3.2-2*U266))</f>
        <v>8.9749999999999996</v>
      </c>
      <c r="AI266" s="19">
        <f>10*(0.22*AA266+0.2*AB266+0.18*AC266+0.12*AD266+0.1*AE266+0.13*T266+0.05*AH266)</f>
        <v>52.768546461387317</v>
      </c>
      <c r="AJ266" s="19">
        <f>AI266*V266</f>
        <v>53.296231926001191</v>
      </c>
      <c r="AK266" s="20">
        <f>AJ266*(P266/200)</f>
        <v>7.9944347889001781</v>
      </c>
    </row>
    <row r="267" spans="1:50" x14ac:dyDescent="0.25">
      <c r="A267" t="s">
        <v>314</v>
      </c>
      <c r="B267" s="16">
        <v>0.55800000000000005</v>
      </c>
      <c r="C267" s="16">
        <v>0.51100000000000001</v>
      </c>
      <c r="D267" s="16">
        <v>0.23499999999999999</v>
      </c>
      <c r="E267" s="16">
        <v>0.29099999999999998</v>
      </c>
      <c r="F267" s="16">
        <v>9.1999999999999998E-2</v>
      </c>
      <c r="G267" s="16">
        <v>0.22500000000000001</v>
      </c>
      <c r="H267" s="16">
        <v>0.14799999999999999</v>
      </c>
      <c r="I267" s="23">
        <v>1.4999999999999999E-2</v>
      </c>
      <c r="J267" s="16">
        <v>0.01</v>
      </c>
      <c r="K267" s="16">
        <v>0.11799999999999999</v>
      </c>
      <c r="L267" s="16">
        <v>0.252</v>
      </c>
      <c r="M267" s="15">
        <v>118.7</v>
      </c>
      <c r="N267" s="15">
        <v>87.3</v>
      </c>
      <c r="O267" s="16">
        <v>0.26</v>
      </c>
      <c r="P267" s="15">
        <v>8.6999999999999993</v>
      </c>
      <c r="Q267" s="15">
        <v>3.8</v>
      </c>
      <c r="R267" s="15">
        <v>12.6</v>
      </c>
      <c r="S267" s="15">
        <v>4</v>
      </c>
      <c r="T267" s="15">
        <v>5.5</v>
      </c>
      <c r="U267" s="15">
        <v>0.2</v>
      </c>
      <c r="V267" s="15">
        <v>0.93</v>
      </c>
      <c r="W267" s="15">
        <v>0.89</v>
      </c>
      <c r="X267" s="19">
        <f>IF(B267=0,0,100*(C267+2*H267+3*I267)/B267)</f>
        <v>152.68817204301075</v>
      </c>
      <c r="Y267" s="19">
        <f>IF(C267=0,0,(J267+K267)/C267)</f>
        <v>0.25048923679060664</v>
      </c>
      <c r="Z267" s="19"/>
      <c r="AA267" s="19">
        <f>MAX(0,MIN(10,5+50*(D267-0.55)+25*(E267-F267)))</f>
        <v>0</v>
      </c>
      <c r="AB267" s="19">
        <f>MAX(0,MIN(10,0.2*G267+5*Y267))</f>
        <v>1.2974461839530331</v>
      </c>
      <c r="AC267" s="19">
        <f t="shared" si="228"/>
        <v>10</v>
      </c>
      <c r="AD267" s="19">
        <f>MAX(0,MIN(10,2+0.15*G267+4*Y267-0.03*((L267+M267)/2)))</f>
        <v>1.2514269471624266</v>
      </c>
      <c r="AE267" s="19">
        <f>MAX(0,MIN(10,0.15*N267+0.08*O267))</f>
        <v>10</v>
      </c>
      <c r="AF267" s="19"/>
      <c r="AG267" s="19"/>
      <c r="AH267" s="19">
        <f>MAX(0,MIN(10,P267/3.2-2*U267))</f>
        <v>2.3187499999999996</v>
      </c>
      <c r="AI267" s="19">
        <f>10*(0.22*AA267+0.2*AB267+0.18*AC267+0.12*AD267+0.1*AE267+0.13*T267+0.05*AH267)</f>
        <v>40.405979704500979</v>
      </c>
      <c r="AJ267" s="19">
        <f>AI267*V267</f>
        <v>37.577561125185909</v>
      </c>
      <c r="AK267" s="20">
        <f>AJ267*(P267/200)</f>
        <v>1.634623908945587</v>
      </c>
    </row>
    <row r="268" spans="1:50" x14ac:dyDescent="0.25">
      <c r="A268" t="s">
        <v>315</v>
      </c>
      <c r="B268" s="16">
        <v>0.56499999999999995</v>
      </c>
      <c r="C268" s="16">
        <v>0.55700000000000005</v>
      </c>
      <c r="D268" s="16">
        <v>0.186</v>
      </c>
      <c r="E268" s="16">
        <v>0.14299999999999999</v>
      </c>
      <c r="F268" s="16">
        <v>0.108</v>
      </c>
      <c r="G268" s="16">
        <v>0.20499999999999999</v>
      </c>
      <c r="H268" s="16">
        <v>0.08</v>
      </c>
      <c r="I268" s="23">
        <v>2.5999999999999999E-2</v>
      </c>
      <c r="J268" s="16">
        <v>4.2000000000000003E-2</v>
      </c>
      <c r="K268" s="16">
        <v>0.16400000000000001</v>
      </c>
      <c r="L268" s="16">
        <v>0.20699999999999999</v>
      </c>
      <c r="M268" s="15">
        <v>112</v>
      </c>
      <c r="N268" s="15">
        <v>83</v>
      </c>
      <c r="O268" s="16">
        <v>0.23</v>
      </c>
      <c r="P268" s="15">
        <v>4.8</v>
      </c>
      <c r="Q268" s="15">
        <v>4.5999999999999996</v>
      </c>
      <c r="R268" s="15">
        <v>9.4</v>
      </c>
      <c r="S268" s="15">
        <v>18</v>
      </c>
      <c r="T268" s="15">
        <v>7.5</v>
      </c>
      <c r="U268" s="15">
        <v>0.2</v>
      </c>
      <c r="V268" s="15">
        <v>1.05</v>
      </c>
      <c r="W268" s="15">
        <v>1.03</v>
      </c>
      <c r="X268" s="19">
        <f>IF(B268=0,0,100*(C268+2*H268+3*I268)/B268)</f>
        <v>140.70796460176993</v>
      </c>
      <c r="Y268" s="19">
        <f>IF(C268=0,0,(J268+K268)/C268)</f>
        <v>0.36983842010771995</v>
      </c>
      <c r="Z268" s="19"/>
      <c r="AA268" s="19">
        <f>MAX(0,MIN(10,5+50*(D268-0.55)+25*(E268-F268)))</f>
        <v>0</v>
      </c>
      <c r="AB268" s="19">
        <f>MAX(0,MIN(10,0.2*G268+5*Y268))</f>
        <v>1.8901921005385995</v>
      </c>
      <c r="AC268" s="19">
        <f t="shared" si="228"/>
        <v>10</v>
      </c>
      <c r="AD268" s="19">
        <f>MAX(0,MIN(10,2+0.15*G268+4*Y268-0.03*((L268+M268)/2)))</f>
        <v>1.8269986804308798</v>
      </c>
      <c r="AE268" s="19">
        <f>MAX(0,MIN(10,0.15*N268+0.08*O268))</f>
        <v>10</v>
      </c>
      <c r="AF268" s="19"/>
      <c r="AG268" s="19"/>
      <c r="AH268" s="19">
        <f>MAX(0,MIN(10,P268/3.2-2*U268))</f>
        <v>1.0999999999999996</v>
      </c>
      <c r="AI268" s="19">
        <f>10*(0.22*AA268+0.2*AB268+0.18*AC268+0.12*AD268+0.1*AE268+0.13*T268+0.05*AH268)</f>
        <v>44.272782617594252</v>
      </c>
      <c r="AJ268" s="19">
        <f>AI268*V268</f>
        <v>46.486421748473965</v>
      </c>
      <c r="AK268" s="20">
        <f>AJ268*(P268/200)</f>
        <v>1.1156741219633752</v>
      </c>
    </row>
    <row r="269" spans="1:50" x14ac:dyDescent="0.25">
      <c r="A269" t="s">
        <v>316</v>
      </c>
      <c r="B269" s="16">
        <v>0.52700000000000002</v>
      </c>
      <c r="C269" s="16">
        <v>0.501</v>
      </c>
      <c r="D269" s="16">
        <v>5.0000000000000001E-3</v>
      </c>
      <c r="E269" s="16">
        <v>0.32600000000000001</v>
      </c>
      <c r="F269" s="16">
        <v>0.113</v>
      </c>
      <c r="G269" s="16">
        <v>0.16300000000000001</v>
      </c>
      <c r="H269" s="16">
        <v>0.14499999999999999</v>
      </c>
      <c r="I269" s="23">
        <v>3.5999999999999997E-2</v>
      </c>
      <c r="J269" s="16">
        <v>0.04</v>
      </c>
      <c r="K269" s="16">
        <v>0.121</v>
      </c>
      <c r="L269" s="16">
        <v>0.26400000000000001</v>
      </c>
      <c r="M269" s="15">
        <v>111.2</v>
      </c>
      <c r="N269" s="15">
        <v>88.6</v>
      </c>
      <c r="O269" s="16">
        <v>0.23300000000000001</v>
      </c>
      <c r="P269" s="15">
        <v>7.3</v>
      </c>
      <c r="Q269" s="15">
        <v>3.6</v>
      </c>
      <c r="R269" s="15">
        <v>10.9</v>
      </c>
      <c r="S269" s="15">
        <v>14</v>
      </c>
      <c r="T269" s="15">
        <v>6.5</v>
      </c>
      <c r="U269" s="15">
        <v>0.2</v>
      </c>
      <c r="V269" s="15">
        <v>0.99</v>
      </c>
      <c r="W269" s="15">
        <v>0.98</v>
      </c>
      <c r="X269" s="19">
        <f>IF(B269=0,0,100*(C269+2*H269+3*I269)/B269)</f>
        <v>170.58823529411762</v>
      </c>
      <c r="Y269" s="19">
        <f>IF(C269=0,0,(J269+K269)/C269)</f>
        <v>0.32135728542914171</v>
      </c>
      <c r="Z269" s="19"/>
      <c r="AA269" s="19">
        <f>MAX(0,MIN(10,5+50*(D269-0.55)+25*(E269-F269)))</f>
        <v>0</v>
      </c>
      <c r="AB269" s="19">
        <f>MAX(0,MIN(10,0.2*G269+5*Y269))</f>
        <v>1.6393864271457086</v>
      </c>
      <c r="AC269" s="19">
        <f t="shared" si="228"/>
        <v>10</v>
      </c>
      <c r="AD269" s="19">
        <f>MAX(0,MIN(10,2+0.15*G269+4*Y269-0.03*((L269+M269)/2)))</f>
        <v>1.6379191417165671</v>
      </c>
      <c r="AE269" s="19">
        <f>MAX(0,MIN(10,0.15*N269+0.08*O269))</f>
        <v>10</v>
      </c>
      <c r="AF269" s="19"/>
      <c r="AG269" s="19"/>
      <c r="AH269" s="19">
        <f>MAX(0,MIN(10,P269/3.2-2*U269))</f>
        <v>1.8812500000000001</v>
      </c>
      <c r="AI269" s="19">
        <f>10*(0.22*AA269+0.2*AB269+0.18*AC269+0.12*AD269+0.1*AE269+0.13*T269+0.05*AH269)</f>
        <v>42.634900824351291</v>
      </c>
      <c r="AJ269" s="19">
        <f>AI269*V269</f>
        <v>42.208551816107779</v>
      </c>
      <c r="AK269" s="20">
        <f>AJ269*(P269/200)</f>
        <v>1.5406121412879339</v>
      </c>
    </row>
    <row r="270" spans="1:50" x14ac:dyDescent="0.25">
      <c r="A270" t="s">
        <v>317</v>
      </c>
      <c r="B270" s="16">
        <v>0.42799999999999999</v>
      </c>
      <c r="C270" s="16">
        <v>0.42299999999999999</v>
      </c>
      <c r="D270" s="16">
        <v>0.47199999999999998</v>
      </c>
      <c r="E270" s="16">
        <v>0.16200000000000001</v>
      </c>
      <c r="F270" s="16">
        <v>2.5999999999999999E-2</v>
      </c>
      <c r="G270" s="16">
        <v>7.8E-2</v>
      </c>
      <c r="H270" s="16">
        <v>0.126</v>
      </c>
      <c r="I270" s="23">
        <v>1.4E-2</v>
      </c>
      <c r="J270" s="16">
        <v>1.0999999999999999E-2</v>
      </c>
      <c r="K270" s="16">
        <v>0.182</v>
      </c>
      <c r="L270" s="16">
        <v>0.16600000000000001</v>
      </c>
      <c r="M270" s="15">
        <v>82.7</v>
      </c>
      <c r="N270" s="15">
        <v>100</v>
      </c>
      <c r="O270" s="16">
        <v>2.3E-2</v>
      </c>
      <c r="P270" s="15">
        <v>-2.2999999999999998</v>
      </c>
      <c r="Q270" s="15">
        <v>-3.2</v>
      </c>
      <c r="R270" s="15">
        <v>-5.5</v>
      </c>
      <c r="S270" s="15">
        <v>5</v>
      </c>
      <c r="T270" s="15">
        <v>5</v>
      </c>
      <c r="U270" s="15">
        <v>0.2</v>
      </c>
      <c r="V270" s="15">
        <v>0.93</v>
      </c>
      <c r="W270" s="15">
        <v>0.9</v>
      </c>
      <c r="X270" s="19">
        <f>IF(B270=0,0,100*(C270+2*H270+3*I270)/B270)</f>
        <v>167.52336448598132</v>
      </c>
      <c r="Y270" s="19">
        <f>IF(C270=0,0,(J270+K270)/C270)</f>
        <v>0.45626477541371163</v>
      </c>
      <c r="Z270" s="19"/>
      <c r="AA270" s="19">
        <f>MAX(0,MIN(10,5+50*(D270-0.55)+25*(E270-F270)))</f>
        <v>4.4999999999999964</v>
      </c>
      <c r="AB270" s="19">
        <f>MAX(0,MIN(10,0.2*G270+5*Y270))</f>
        <v>2.2969238770685583</v>
      </c>
      <c r="AC270" s="19">
        <f t="shared" si="228"/>
        <v>10</v>
      </c>
      <c r="AD270" s="19">
        <f>MAX(0,MIN(10,2+0.15*G270+4*Y270-0.03*((L270+M270)/2)))</f>
        <v>2.5937691016548463</v>
      </c>
      <c r="AE270" s="19">
        <f>MAX(0,MIN(10,0.15*N270+0.08*O270))</f>
        <v>10</v>
      </c>
      <c r="AF270" s="19"/>
      <c r="AG270" s="19"/>
      <c r="AH270" s="19">
        <f>MAX(0,MIN(10,P270/3.2-2*U270))</f>
        <v>0</v>
      </c>
      <c r="AI270" s="19">
        <f>10*(0.22*AA270+0.2*AB270+0.18*AC270+0.12*AD270+0.1*AE270+0.13*T270+0.05*AH270)</f>
        <v>52.106370676122928</v>
      </c>
      <c r="AJ270" s="19">
        <f>AI270*V270</f>
        <v>48.458924728794329</v>
      </c>
      <c r="AK270" s="20">
        <f>AJ270*(P270/200)</f>
        <v>-0.55727763438113476</v>
      </c>
    </row>
    <row r="271" spans="1:50" x14ac:dyDescent="0.25">
      <c r="A271" t="s">
        <v>318</v>
      </c>
      <c r="B271" s="16">
        <v>0.48399999999999999</v>
      </c>
      <c r="C271" s="16">
        <v>0.46300000000000002</v>
      </c>
      <c r="D271" s="16">
        <v>0.42699999999999999</v>
      </c>
      <c r="E271" s="16">
        <v>0.127</v>
      </c>
      <c r="F271" s="16">
        <v>4.9000000000000002E-2</v>
      </c>
      <c r="G271" s="16">
        <v>0.153</v>
      </c>
      <c r="H271" s="16">
        <v>0.14000000000000001</v>
      </c>
      <c r="I271" s="23">
        <v>8.9999999999999993E-3</v>
      </c>
      <c r="J271" s="16">
        <v>1.2999999999999999E-2</v>
      </c>
      <c r="K271" s="16">
        <v>0.151</v>
      </c>
      <c r="L271" s="16">
        <v>0.214</v>
      </c>
      <c r="M271" s="15">
        <v>100.8</v>
      </c>
      <c r="N271" s="15">
        <v>93.3</v>
      </c>
      <c r="O271" s="16">
        <v>0.13200000000000001</v>
      </c>
      <c r="P271" s="15">
        <v>4.2</v>
      </c>
      <c r="Q271" s="15">
        <v>2.2999999999999998</v>
      </c>
      <c r="R271" s="15">
        <v>6.5</v>
      </c>
      <c r="S271" s="15">
        <v>8</v>
      </c>
      <c r="T271" s="15">
        <v>4.5</v>
      </c>
      <c r="U271" s="15">
        <v>0.2</v>
      </c>
      <c r="V271" s="15">
        <v>0.95</v>
      </c>
      <c r="W271" s="15">
        <v>0.93</v>
      </c>
      <c r="X271" s="19">
        <f>IF(B271=0,0,100*(C271+2*H271+3*I271)/B271)</f>
        <v>159.09090909090912</v>
      </c>
      <c r="Y271" s="19">
        <f>IF(C271=0,0,(J271+K271)/C271)</f>
        <v>0.35421166306695462</v>
      </c>
      <c r="Z271" s="19"/>
      <c r="AA271" s="19">
        <f>MAX(0,MIN(10,5+50*(D271-0.55)+25*(E271-F271)))</f>
        <v>0.79999999999999694</v>
      </c>
      <c r="AB271" s="19">
        <f>MAX(0,MIN(10,0.2*G271+5*Y271))</f>
        <v>1.8016583153347729</v>
      </c>
      <c r="AC271" s="19">
        <f t="shared" si="228"/>
        <v>10</v>
      </c>
      <c r="AD271" s="19">
        <f>MAX(0,MIN(10,2+0.15*G271+4*Y271-0.03*((L271+M271)/2)))</f>
        <v>1.9245866522678183</v>
      </c>
      <c r="AE271" s="19">
        <f>MAX(0,MIN(10,0.15*N271+0.08*O271))</f>
        <v>10</v>
      </c>
      <c r="AF271" s="19"/>
      <c r="AG271" s="19"/>
      <c r="AH271" s="19">
        <f>MAX(0,MIN(10,P271/3.2-2*U271))</f>
        <v>0.91249999999999998</v>
      </c>
      <c r="AI271" s="19">
        <f>10*(0.22*AA271+0.2*AB271+0.18*AC271+0.12*AD271+0.1*AE271+0.13*T271+0.05*AH271)</f>
        <v>41.979070613390917</v>
      </c>
      <c r="AJ271" s="19">
        <f>AI271*V271</f>
        <v>39.88011708272137</v>
      </c>
      <c r="AK271" s="20">
        <f>AJ271*(P271/200)</f>
        <v>0.83748245873714877</v>
      </c>
    </row>
    <row r="272" spans="1:50" x14ac:dyDescent="0.25">
      <c r="A272" t="s">
        <v>319</v>
      </c>
      <c r="B272" s="16">
        <v>0.50800000000000001</v>
      </c>
      <c r="C272" s="16">
        <v>0.46800000000000003</v>
      </c>
      <c r="D272" s="16">
        <v>0.33600000000000002</v>
      </c>
      <c r="E272" s="16">
        <v>0.20499999999999999</v>
      </c>
      <c r="F272" s="16">
        <v>4.9000000000000002E-2</v>
      </c>
      <c r="G272" s="16">
        <v>0.13600000000000001</v>
      </c>
      <c r="H272" s="16">
        <v>0.29199999999999998</v>
      </c>
      <c r="I272" s="23">
        <v>0.04</v>
      </c>
      <c r="J272" s="16">
        <v>3.0000000000000001E-3</v>
      </c>
      <c r="K272" s="16">
        <v>0.191</v>
      </c>
      <c r="L272" s="16">
        <v>0.193</v>
      </c>
      <c r="M272" s="18">
        <v>107</v>
      </c>
      <c r="N272" s="16">
        <v>82.4</v>
      </c>
      <c r="O272" s="16">
        <v>0.20399999999999999</v>
      </c>
      <c r="P272" s="15">
        <v>6.1</v>
      </c>
      <c r="Q272" s="15">
        <v>7</v>
      </c>
      <c r="R272" s="15">
        <v>13</v>
      </c>
      <c r="S272" s="15">
        <v>11</v>
      </c>
      <c r="T272" s="15">
        <v>7</v>
      </c>
      <c r="U272" s="15">
        <v>0.2</v>
      </c>
      <c r="V272" s="15">
        <v>1.02</v>
      </c>
      <c r="W272" s="15">
        <v>0.99</v>
      </c>
      <c r="X272" s="19">
        <f>IF(B272=0,0,100*(C272+2*H272+3*I272)/B272)</f>
        <v>230.70866141732287</v>
      </c>
      <c r="Y272" s="19">
        <f>IF(C272=0,0,(J272+K272)/C272)</f>
        <v>0.4145299145299145</v>
      </c>
      <c r="Z272" s="19"/>
      <c r="AA272" s="19">
        <f>MAX(0,MIN(10,5+50*(D272-0.55)+25*(E272-F272)))</f>
        <v>0</v>
      </c>
      <c r="AB272" s="19">
        <f>MAX(0,MIN(10,0.2*G272+5*Y272))</f>
        <v>2.0998495726495725</v>
      </c>
      <c r="AC272" s="19">
        <f t="shared" si="228"/>
        <v>10</v>
      </c>
      <c r="AD272" s="19">
        <f>MAX(0,MIN(10,2+0.15*G272+4*Y272-0.03*((L272+M272)/2)))</f>
        <v>2.0706246581196579</v>
      </c>
      <c r="AE272" s="19">
        <f>MAX(0,MIN(10,0.15*N272+0.08*O272))</f>
        <v>10</v>
      </c>
      <c r="AF272" s="19"/>
      <c r="AG272" s="19"/>
      <c r="AH272" s="19">
        <f>MAX(0,MIN(10,P272/3.2-2*U272))</f>
        <v>1.5062499999999996</v>
      </c>
      <c r="AI272" s="19">
        <f>10*(0.22*AA272+0.2*AB272+0.18*AC272+0.12*AD272+0.1*AE272+0.13*T272+0.05*AH272)</f>
        <v>44.537573735042734</v>
      </c>
      <c r="AJ272" s="19">
        <f>AI272*V272</f>
        <v>45.428325209743591</v>
      </c>
      <c r="AK272" s="20">
        <f>AJ272*(P272/200)</f>
        <v>1.3855639188971796</v>
      </c>
    </row>
    <row r="273" spans="1:50" x14ac:dyDescent="0.25">
      <c r="A273" t="s">
        <v>320</v>
      </c>
      <c r="B273" s="15">
        <v>359</v>
      </c>
      <c r="C273" s="15">
        <v>45</v>
      </c>
      <c r="D273" s="16">
        <v>0.45</v>
      </c>
      <c r="E273" s="16">
        <v>0.45450000000000002</v>
      </c>
      <c r="F273" s="15">
        <v>0.56000000000000005</v>
      </c>
      <c r="G273" s="15">
        <v>16.010000000000002</v>
      </c>
      <c r="H273" s="15">
        <v>32</v>
      </c>
      <c r="I273" s="17">
        <v>0</v>
      </c>
      <c r="J273" s="15">
        <v>8</v>
      </c>
      <c r="K273" s="15">
        <v>0</v>
      </c>
      <c r="L273" s="16">
        <v>0.8</v>
      </c>
      <c r="M273" s="18">
        <v>0</v>
      </c>
      <c r="N273" s="16">
        <v>0.11799999999999999</v>
      </c>
      <c r="O273" s="16">
        <v>0.23599999999999999</v>
      </c>
      <c r="P273" s="15">
        <v>8</v>
      </c>
      <c r="Q273" s="15"/>
      <c r="R273" s="15"/>
      <c r="S273" s="15"/>
      <c r="T273" s="15">
        <v>8</v>
      </c>
      <c r="U273" s="15">
        <v>0.2</v>
      </c>
      <c r="V273" s="15">
        <v>0.98</v>
      </c>
      <c r="W273" s="15"/>
      <c r="X273" s="19">
        <f>IF(B273=0,0,100*(C273+2*H273+3*I273)/B273)</f>
        <v>30.362116991643454</v>
      </c>
      <c r="Y273" s="19">
        <f>IF(C273=0,0,(J273+K273)/C273)</f>
        <v>0.17777777777777778</v>
      </c>
      <c r="Z273" s="19"/>
      <c r="AA273" s="19">
        <f>MAX(0,MIN(10,5+50*(D273-0.55)+25*(E273-F273)))</f>
        <v>0</v>
      </c>
      <c r="AB273" s="19">
        <f>MAX(0,MIN(10,0.2*G273+5*Y273))</f>
        <v>4.0908888888888892</v>
      </c>
      <c r="AC273" s="19">
        <f t="shared" si="228"/>
        <v>7.5905292479108635</v>
      </c>
      <c r="AD273" s="19">
        <f>MAX(0,MIN(10,2+0.15*G273+4*Y273-0.03*((L273+M273)/2)))</f>
        <v>5.1006111111111121</v>
      </c>
      <c r="AE273" s="19">
        <f>MAX(0,MIN(10,0.15*N273+0.08*O273))</f>
        <v>3.6580000000000001E-2</v>
      </c>
      <c r="AF273" s="19"/>
      <c r="AG273" s="19"/>
      <c r="AH273" s="19">
        <f>MAX(0,MIN(10,P273/3.2-2*U273))</f>
        <v>2.1</v>
      </c>
      <c r="AI273" s="19">
        <f>10*(0.22*AA273+0.2*AB273+0.18*AC273+0.12*AD273+0.1*AE273+0.13*T273+0.05*AH273)</f>
        <v>39.452043757350673</v>
      </c>
      <c r="AJ273" s="19">
        <f>AI273*V273</f>
        <v>38.663002882203656</v>
      </c>
      <c r="AK273" s="20">
        <f>AJ273*(P273/200)</f>
        <v>1.5465201152881463</v>
      </c>
    </row>
    <row r="274" spans="1:50" x14ac:dyDescent="0.25">
      <c r="A274" t="s">
        <v>321</v>
      </c>
      <c r="B274" s="16">
        <v>0.54500000000000004</v>
      </c>
      <c r="C274" s="16">
        <v>0.52300000000000002</v>
      </c>
      <c r="D274" s="16">
        <v>0.29799999999999999</v>
      </c>
      <c r="E274" s="16">
        <v>0.247</v>
      </c>
      <c r="F274" s="16">
        <v>5.8999999999999997E-2</v>
      </c>
      <c r="G274" s="16">
        <v>0.106</v>
      </c>
      <c r="H274" s="16">
        <v>0.14799999999999999</v>
      </c>
      <c r="I274" s="23">
        <v>2.5999999999999999E-2</v>
      </c>
      <c r="J274" s="16">
        <v>0.03</v>
      </c>
      <c r="K274" s="16">
        <v>0.114</v>
      </c>
      <c r="L274" s="16">
        <v>0.24299999999999999</v>
      </c>
      <c r="M274" s="15">
        <v>121.8</v>
      </c>
      <c r="N274" s="15">
        <v>81.8</v>
      </c>
      <c r="O274" s="16">
        <v>0.29899999999999999</v>
      </c>
      <c r="P274" s="15">
        <v>8.8000000000000007</v>
      </c>
      <c r="Q274" s="15">
        <v>5</v>
      </c>
      <c r="R274" s="15">
        <v>13.8</v>
      </c>
      <c r="S274" s="15">
        <v>20</v>
      </c>
      <c r="T274" s="15">
        <v>6</v>
      </c>
      <c r="U274" s="15">
        <v>0.2</v>
      </c>
      <c r="V274" s="15">
        <v>1.04</v>
      </c>
      <c r="W274" s="15">
        <v>1.02</v>
      </c>
      <c r="X274" s="19">
        <f>IF(B274=0,0,100*(C274+2*H274+3*I274)/B274)</f>
        <v>164.58715596330271</v>
      </c>
      <c r="Y274" s="19">
        <f>IF(C274=0,0,(J274+K274)/C274)</f>
        <v>0.27533460803059273</v>
      </c>
      <c r="Z274" s="19"/>
      <c r="AA274" s="19">
        <f>MAX(0,MIN(10,5+50*(D274-0.55)+25*(E274-F274)))</f>
        <v>0</v>
      </c>
      <c r="AB274" s="19">
        <f>MAX(0,MIN(10,0.2*G274+5*Y274))</f>
        <v>1.3978730401529638</v>
      </c>
      <c r="AC274" s="19">
        <f t="shared" si="228"/>
        <v>10</v>
      </c>
      <c r="AD274" s="19">
        <f>MAX(0,MIN(10,2+0.15*G274+4*Y274-0.03*((L274+M274)/2)))</f>
        <v>1.2865934321223709</v>
      </c>
      <c r="AE274" s="19">
        <f>MAX(0,MIN(10,0.15*N274+0.08*O274))</f>
        <v>10</v>
      </c>
      <c r="AF274" s="19"/>
      <c r="AG274" s="19"/>
      <c r="AH274" s="19">
        <f>MAX(0,MIN(10,P274/3.2-2*U274))</f>
        <v>2.35</v>
      </c>
      <c r="AI274" s="19">
        <f>10*(0.22*AA274+0.2*AB274+0.18*AC274+0.12*AD274+0.1*AE274+0.13*T274+0.05*AH274)</f>
        <v>41.314658198852769</v>
      </c>
      <c r="AJ274" s="19">
        <f>AI274*V274</f>
        <v>42.96724452680688</v>
      </c>
      <c r="AK274" s="20">
        <f>AJ274*(P274/200)</f>
        <v>1.890558759179503</v>
      </c>
    </row>
    <row r="275" spans="1:50" x14ac:dyDescent="0.25">
      <c r="A275" t="s">
        <v>322</v>
      </c>
      <c r="B275" s="15">
        <v>1945</v>
      </c>
      <c r="C275" s="15">
        <v>255</v>
      </c>
      <c r="D275" s="16">
        <v>0.49419999999999997</v>
      </c>
      <c r="E275" s="16">
        <v>0.45779999999999998</v>
      </c>
      <c r="F275" s="15">
        <v>0.52</v>
      </c>
      <c r="G275" s="15">
        <v>15.04</v>
      </c>
      <c r="H275" s="15">
        <v>66</v>
      </c>
      <c r="I275" s="17">
        <v>60</v>
      </c>
      <c r="J275" s="15">
        <v>62</v>
      </c>
      <c r="K275" s="15">
        <v>18</v>
      </c>
      <c r="L275" s="16">
        <v>0.51559999999999995</v>
      </c>
      <c r="M275" s="18">
        <v>0.76919999999999999</v>
      </c>
      <c r="N275" s="16">
        <v>1.9599999999999999E-2</v>
      </c>
      <c r="O275" s="16">
        <v>6.4000000000000001E-2</v>
      </c>
      <c r="P275" s="15">
        <v>24</v>
      </c>
      <c r="Q275" s="15"/>
      <c r="R275" s="15"/>
      <c r="S275" s="15"/>
      <c r="T275" s="15">
        <v>4</v>
      </c>
      <c r="U275" s="15">
        <v>0.2</v>
      </c>
      <c r="V275" s="15">
        <v>1</v>
      </c>
      <c r="W275" s="15"/>
      <c r="X275" s="19">
        <f>IF(B275=0,0,100*(C275+2*H275+3*I275)/B275)</f>
        <v>29.151670951156813</v>
      </c>
      <c r="Y275" s="19">
        <f>IF(C275=0,0,(J275+K275)/C275)</f>
        <v>0.31372549019607843</v>
      </c>
      <c r="Z275" s="19"/>
      <c r="AA275" s="19">
        <f>MAX(0,MIN(10,5+50*(D275-0.55)+25*(E275-F275)))</f>
        <v>0.65499999999999559</v>
      </c>
      <c r="AB275" s="19">
        <f>MAX(0,MIN(10,0.2*G275+5*Y275))</f>
        <v>4.5766274509803919</v>
      </c>
      <c r="AC275" s="19">
        <f t="shared" si="228"/>
        <v>7.2879177377892033</v>
      </c>
      <c r="AD275" s="19">
        <f>MAX(0,MIN(10,2+0.15*G275+4*Y275-0.03*((L275+M275)/2)))</f>
        <v>5.491629960784314</v>
      </c>
      <c r="AE275" s="19">
        <f>MAX(0,MIN(10,0.15*N275+0.08*O275))</f>
        <v>8.0600000000000012E-3</v>
      </c>
      <c r="AF275" s="19"/>
      <c r="AG275" s="19"/>
      <c r="AH275" s="19">
        <f>MAX(0,MIN(10,P275/3.2-2*U275))</f>
        <v>7.1</v>
      </c>
      <c r="AI275" s="19">
        <f>10*(0.22*AA275+0.2*AB275+0.18*AC275+0.12*AD275+0.1*AE275+0.13*T275+0.05*AH275)</f>
        <v>39.060522782922519</v>
      </c>
      <c r="AJ275" s="19">
        <f>AI275*V275</f>
        <v>39.060522782922519</v>
      </c>
      <c r="AK275" s="20">
        <f>AJ275*(P275/200)</f>
        <v>4.6872627339507025</v>
      </c>
    </row>
    <row r="276" spans="1:50" x14ac:dyDescent="0.25">
      <c r="A276" t="s">
        <v>323</v>
      </c>
      <c r="B276" s="15">
        <v>254</v>
      </c>
      <c r="C276" s="15">
        <v>37</v>
      </c>
      <c r="D276" s="16">
        <v>0.48680000000000001</v>
      </c>
      <c r="E276" s="16">
        <v>0.48649999999999999</v>
      </c>
      <c r="F276" s="15">
        <v>0.48</v>
      </c>
      <c r="G276" s="15">
        <v>15.03</v>
      </c>
      <c r="H276" s="15">
        <v>10</v>
      </c>
      <c r="I276" s="17">
        <v>21</v>
      </c>
      <c r="J276" s="15">
        <v>2</v>
      </c>
      <c r="K276" s="15">
        <v>3</v>
      </c>
      <c r="L276" s="16">
        <v>0.83330000000000004</v>
      </c>
      <c r="M276" s="18">
        <v>0.875</v>
      </c>
      <c r="N276" s="16">
        <v>3.0800000000000001E-2</v>
      </c>
      <c r="O276" s="16">
        <v>7.0800000000000002E-2</v>
      </c>
      <c r="P276" s="15">
        <v>14</v>
      </c>
      <c r="Q276" s="15"/>
      <c r="R276" s="15"/>
      <c r="S276" s="15"/>
      <c r="T276" s="15">
        <v>4</v>
      </c>
      <c r="U276" s="15">
        <v>0.2</v>
      </c>
      <c r="V276" s="15">
        <v>1</v>
      </c>
      <c r="W276" s="15"/>
      <c r="X276" s="19">
        <f>IF(B276=0,0,100*(C276+2*H276+3*I276)/B276)</f>
        <v>47.244094488188978</v>
      </c>
      <c r="Y276" s="19">
        <f>IF(C276=0,0,(J276+K276)/C276)</f>
        <v>0.13513513513513514</v>
      </c>
      <c r="Z276" s="19"/>
      <c r="AA276" s="19">
        <f>MAX(0,MIN(10,5+50*(D276-0.55)+25*(E276-F276)))</f>
        <v>2.0024999999999982</v>
      </c>
      <c r="AB276" s="19">
        <f>MAX(0,MIN(10,0.2*G276+5*Y276))</f>
        <v>3.6816756756756757</v>
      </c>
      <c r="AC276" s="19">
        <f t="shared" si="228"/>
        <v>10</v>
      </c>
      <c r="AD276" s="19">
        <f>MAX(0,MIN(10,2+0.15*G276+4*Y276-0.03*((L276+M276)/2)))</f>
        <v>4.7694160405405404</v>
      </c>
      <c r="AE276" s="19">
        <f>MAX(0,MIN(10,0.15*N276+0.08*O276))</f>
        <v>1.0284000000000001E-2</v>
      </c>
      <c r="AF276" s="19"/>
      <c r="AG276" s="19"/>
      <c r="AH276" s="19">
        <f>MAX(0,MIN(10,P276/3.2-2*U276))</f>
        <v>3.9750000000000001</v>
      </c>
      <c r="AI276" s="19">
        <f>10*(0.22*AA276+0.2*AB276+0.18*AC276+0.12*AD276+0.1*AE276+0.13*T276+0.05*AH276)</f>
        <v>42.689934599999987</v>
      </c>
      <c r="AJ276" s="19">
        <f>AI276*V276</f>
        <v>42.689934599999987</v>
      </c>
      <c r="AK276" s="20">
        <f>AJ276*(P276/200)</f>
        <v>2.9882954219999993</v>
      </c>
    </row>
    <row r="277" spans="1:50" x14ac:dyDescent="0.25">
      <c r="A277" t="s">
        <v>324</v>
      </c>
      <c r="B277" s="15">
        <v>1265</v>
      </c>
      <c r="C277" s="15">
        <v>161</v>
      </c>
      <c r="D277" s="16">
        <v>0.53310000000000002</v>
      </c>
      <c r="E277" s="16">
        <v>0.51759999999999995</v>
      </c>
      <c r="F277" s="15">
        <v>0.49</v>
      </c>
      <c r="G277" s="15">
        <v>12.86</v>
      </c>
      <c r="H277" s="15">
        <v>58</v>
      </c>
      <c r="I277" s="17">
        <v>81</v>
      </c>
      <c r="J277" s="15">
        <v>8</v>
      </c>
      <c r="K277" s="15">
        <v>0</v>
      </c>
      <c r="L277" s="16">
        <v>0.87880000000000003</v>
      </c>
      <c r="M277" s="18">
        <v>1</v>
      </c>
      <c r="N277" s="16">
        <v>2.8400000000000002E-2</v>
      </c>
      <c r="O277" s="16">
        <v>0.126</v>
      </c>
      <c r="P277" s="15">
        <v>14</v>
      </c>
      <c r="Q277" s="15"/>
      <c r="R277" s="15"/>
      <c r="S277" s="15"/>
      <c r="T277" s="15">
        <v>6</v>
      </c>
      <c r="U277" s="15">
        <v>0.2</v>
      </c>
      <c r="V277" s="15">
        <v>1</v>
      </c>
      <c r="W277" s="15"/>
      <c r="X277" s="19">
        <f>IF(B277=0,0,100*(C277+2*H277+3*I277)/B277)</f>
        <v>41.10671936758893</v>
      </c>
      <c r="Y277" s="19">
        <f>IF(C277=0,0,(J277+K277)/C277)</f>
        <v>4.9689440993788817E-2</v>
      </c>
      <c r="Z277" s="19"/>
      <c r="AA277" s="19">
        <f>MAX(0,MIN(10,5+50*(D277-0.55)+25*(E277-F277)))</f>
        <v>4.8449999999999971</v>
      </c>
      <c r="AB277" s="19">
        <f>MAX(0,MIN(10,0.2*G277+5*Y277))</f>
        <v>2.8204472049689442</v>
      </c>
      <c r="AC277" s="19">
        <f t="shared" si="228"/>
        <v>10</v>
      </c>
      <c r="AD277" s="19">
        <f>MAX(0,MIN(10,2+0.15*G277+4*Y277-0.03*((L277+M277)/2)))</f>
        <v>4.0995757639751549</v>
      </c>
      <c r="AE277" s="19">
        <f>MAX(0,MIN(10,0.15*N277+0.08*O277))</f>
        <v>1.434E-2</v>
      </c>
      <c r="AF277" s="19"/>
      <c r="AG277" s="19"/>
      <c r="AH277" s="19">
        <f>MAX(0,MIN(10,P277/3.2-2*U277))</f>
        <v>3.9750000000000001</v>
      </c>
      <c r="AI277" s="19">
        <f>10*(0.22*AA277+0.2*AB277+0.18*AC277+0.12*AD277+0.1*AE277+0.13*T277+0.05*AH277)</f>
        <v>49.021225326708077</v>
      </c>
      <c r="AJ277" s="19">
        <f>AI277*V277</f>
        <v>49.021225326708077</v>
      </c>
      <c r="AK277" s="20">
        <f>AJ277*(P277/200)</f>
        <v>3.4314857728695656</v>
      </c>
    </row>
    <row r="278" spans="1:50" x14ac:dyDescent="0.25">
      <c r="A278" t="s">
        <v>325</v>
      </c>
      <c r="B278" s="15">
        <v>1355</v>
      </c>
      <c r="C278" s="15">
        <v>159</v>
      </c>
      <c r="D278" s="16">
        <v>0.50319999999999998</v>
      </c>
      <c r="E278" s="16">
        <v>0.46229999999999999</v>
      </c>
      <c r="F278" s="15">
        <v>0.5</v>
      </c>
      <c r="G278" s="15">
        <v>11.18</v>
      </c>
      <c r="H278" s="15">
        <v>34</v>
      </c>
      <c r="I278" s="17">
        <v>99</v>
      </c>
      <c r="J278" s="15">
        <v>2</v>
      </c>
      <c r="K278" s="15">
        <v>0</v>
      </c>
      <c r="L278" s="16">
        <v>0.94440000000000002</v>
      </c>
      <c r="M278" s="18">
        <v>1</v>
      </c>
      <c r="N278" s="16">
        <v>2.5000000000000001E-2</v>
      </c>
      <c r="O278" s="16">
        <v>0.1016</v>
      </c>
      <c r="P278" s="15">
        <v>18</v>
      </c>
      <c r="Q278" s="15"/>
      <c r="R278" s="15"/>
      <c r="S278" s="15"/>
      <c r="T278" s="15">
        <v>5</v>
      </c>
      <c r="U278" s="15">
        <v>0.2</v>
      </c>
      <c r="V278" s="15">
        <v>1</v>
      </c>
      <c r="W278" s="15"/>
      <c r="X278" s="19">
        <f>IF(B278=0,0,100*(C278+2*H278+3*I278)/B278)</f>
        <v>38.671586715867157</v>
      </c>
      <c r="Y278" s="19">
        <f>IF(C278=0,0,(J278+K278)/C278)</f>
        <v>1.2578616352201259E-2</v>
      </c>
      <c r="Z278" s="19"/>
      <c r="AA278" s="19">
        <f>MAX(0,MIN(10,5+50*(D278-0.55)+25*(E278-F278)))</f>
        <v>1.7174999999999963</v>
      </c>
      <c r="AB278" s="19">
        <f>MAX(0,MIN(10,0.2*G278+5*Y278))</f>
        <v>2.2988930817610065</v>
      </c>
      <c r="AC278" s="19">
        <f t="shared" si="228"/>
        <v>9.6678966789667893</v>
      </c>
      <c r="AD278" s="19">
        <f>MAX(0,MIN(10,2+0.15*G278+4*Y278-0.03*((L278+M278)/2)))</f>
        <v>3.6981484654088046</v>
      </c>
      <c r="AE278" s="19">
        <f>MAX(0,MIN(10,0.15*N278+0.08*O278))</f>
        <v>1.1878E-2</v>
      </c>
      <c r="AF278" s="19"/>
      <c r="AG278" s="19"/>
      <c r="AH278" s="19">
        <f>MAX(0,MIN(10,P278/3.2-2*U278))</f>
        <v>5.2249999999999996</v>
      </c>
      <c r="AI278" s="19">
        <f>10*(0.22*AA278+0.2*AB278+0.18*AC278+0.12*AD278+0.1*AE278+0.13*T278+0.05*AH278)</f>
        <v>39.340656344152791</v>
      </c>
      <c r="AJ278" s="19">
        <f>AI278*V278</f>
        <v>39.340656344152791</v>
      </c>
      <c r="AK278" s="20">
        <f>AJ278*(P278/200)</f>
        <v>3.5406590709737511</v>
      </c>
    </row>
    <row r="279" spans="1:50" x14ac:dyDescent="0.25">
      <c r="A279" t="s">
        <v>326</v>
      </c>
      <c r="B279" s="15">
        <v>1190</v>
      </c>
      <c r="C279" s="15">
        <v>323</v>
      </c>
      <c r="D279" s="16">
        <v>0.56269999999999998</v>
      </c>
      <c r="E279" s="16">
        <v>0.55889999999999995</v>
      </c>
      <c r="F279" s="15">
        <v>0.5</v>
      </c>
      <c r="G279" s="15">
        <v>24.94</v>
      </c>
      <c r="H279" s="15">
        <v>236</v>
      </c>
      <c r="I279" s="17">
        <v>12</v>
      </c>
      <c r="J279" s="15">
        <v>46</v>
      </c>
      <c r="K279" s="15">
        <v>0</v>
      </c>
      <c r="L279" s="16">
        <v>0.83689999999999998</v>
      </c>
      <c r="M279" s="18">
        <v>1</v>
      </c>
      <c r="N279" s="16">
        <v>9.7799999999999998E-2</v>
      </c>
      <c r="O279" s="16">
        <v>0.24809999999999999</v>
      </c>
      <c r="P279" s="15">
        <v>18</v>
      </c>
      <c r="Q279" s="15"/>
      <c r="R279" s="15"/>
      <c r="S279" s="15"/>
      <c r="T279" s="15">
        <v>8.5</v>
      </c>
      <c r="U279" s="15">
        <v>0.2</v>
      </c>
      <c r="V279" s="15">
        <v>1</v>
      </c>
      <c r="W279" s="15"/>
      <c r="X279" s="19">
        <f>IF(B279=0,0,100*(C279+2*H279+3*I279)/B279)</f>
        <v>69.831932773109244</v>
      </c>
      <c r="Y279" s="19">
        <f>IF(C279=0,0,(J279+K279)/C279)</f>
        <v>0.14241486068111456</v>
      </c>
      <c r="Z279" s="19"/>
      <c r="AA279" s="19">
        <f>MAX(0,MIN(10,5+50*(D279-0.55)+25*(E279-F279)))</f>
        <v>7.1074999999999946</v>
      </c>
      <c r="AB279" s="19">
        <f>MAX(0,MIN(10,0.2*G279+5*Y279))</f>
        <v>5.7000743034055734</v>
      </c>
      <c r="AC279" s="19">
        <f t="shared" si="228"/>
        <v>10</v>
      </c>
      <c r="AD279" s="19">
        <f>MAX(0,MIN(10,2+0.15*G279+4*Y279-0.03*((L279+M279)/2)))</f>
        <v>6.2831059427244584</v>
      </c>
      <c r="AE279" s="19">
        <f>MAX(0,MIN(10,0.15*N279+0.08*O279))</f>
        <v>3.4518E-2</v>
      </c>
      <c r="AF279" s="19"/>
      <c r="AG279" s="19"/>
      <c r="AH279" s="19">
        <f>MAX(0,MIN(10,P279/3.2-2*U279))</f>
        <v>5.2249999999999996</v>
      </c>
      <c r="AI279" s="19">
        <f>10*(0.22*AA279+0.2*AB279+0.18*AC279+0.12*AD279+0.1*AE279+0.13*T279+0.05*AH279)</f>
        <v>66.273393738080486</v>
      </c>
      <c r="AJ279" s="19">
        <f>AI279*V279</f>
        <v>66.273393738080486</v>
      </c>
      <c r="AK279" s="20">
        <f>AJ279*(P279/200)</f>
        <v>5.9646054364272434</v>
      </c>
    </row>
    <row r="280" spans="1:50" x14ac:dyDescent="0.25">
      <c r="A280" t="s">
        <v>327</v>
      </c>
      <c r="B280" s="15">
        <v>1738</v>
      </c>
      <c r="C280" s="15">
        <v>266</v>
      </c>
      <c r="D280" s="16">
        <v>0.54510000000000003</v>
      </c>
      <c r="E280" s="16">
        <v>0.5222</v>
      </c>
      <c r="F280" s="15">
        <v>0.51</v>
      </c>
      <c r="G280" s="15">
        <v>15.59</v>
      </c>
      <c r="H280" s="15">
        <v>134</v>
      </c>
      <c r="I280" s="17">
        <v>39</v>
      </c>
      <c r="J280" s="15">
        <v>62</v>
      </c>
      <c r="K280" s="15">
        <v>0</v>
      </c>
      <c r="L280" s="16">
        <v>0.68369999999999997</v>
      </c>
      <c r="M280" s="18">
        <v>1</v>
      </c>
      <c r="N280" s="16">
        <v>5.5800000000000002E-2</v>
      </c>
      <c r="O280" s="16">
        <v>0.1401</v>
      </c>
      <c r="P280" s="15">
        <v>23</v>
      </c>
      <c r="Q280" s="15"/>
      <c r="R280" s="15"/>
      <c r="S280" s="15"/>
      <c r="T280" s="15">
        <v>6</v>
      </c>
      <c r="U280" s="15">
        <v>0.2</v>
      </c>
      <c r="V280" s="15">
        <v>1</v>
      </c>
      <c r="W280" s="15"/>
      <c r="X280" s="19">
        <f>IF(B280=0,0,100*(C280+2*H280+3*I280)/B280)</f>
        <v>37.456846950517836</v>
      </c>
      <c r="Y280" s="19">
        <f>IF(C280=0,0,(J280+K280)/C280)</f>
        <v>0.23308270676691728</v>
      </c>
      <c r="Z280" s="19"/>
      <c r="AA280" s="19">
        <f>MAX(0,MIN(10,5+50*(D280-0.55)+25*(E280-F280)))</f>
        <v>5.0599999999999987</v>
      </c>
      <c r="AB280" s="19">
        <f>MAX(0,MIN(10,0.2*G280+5*Y280))</f>
        <v>4.2834135338345867</v>
      </c>
      <c r="AC280" s="19">
        <f t="shared" si="228"/>
        <v>9.3642117376294589</v>
      </c>
      <c r="AD280" s="19">
        <f>MAX(0,MIN(10,2+0.15*G280+4*Y280-0.03*((L280+M280)/2)))</f>
        <v>5.2455753270676686</v>
      </c>
      <c r="AE280" s="19">
        <f>MAX(0,MIN(10,0.15*N280+0.08*O280))</f>
        <v>1.9578000000000002E-2</v>
      </c>
      <c r="AF280" s="19"/>
      <c r="AG280" s="19"/>
      <c r="AH280" s="19">
        <f>MAX(0,MIN(10,P280/3.2-2*U280))</f>
        <v>6.7874999999999996</v>
      </c>
      <c r="AI280" s="19">
        <f>10*(0.22*AA280+0.2*AB280+0.18*AC280+0.12*AD280+0.1*AE280+0.13*T280+0.05*AH280)</f>
        <v>54.062426587883401</v>
      </c>
      <c r="AJ280" s="19">
        <f>AI280*V280</f>
        <v>54.062426587883401</v>
      </c>
      <c r="AK280" s="20">
        <f>AJ280*(P280/200)</f>
        <v>6.2171790576065913</v>
      </c>
    </row>
    <row r="281" spans="1:50" s="32" customFormat="1" x14ac:dyDescent="0.25">
      <c r="A281" s="31" t="s">
        <v>73</v>
      </c>
      <c r="I281" s="33"/>
      <c r="AK281" s="24">
        <f>SUM(AK262:AK280)</f>
        <v>56.206167003515723</v>
      </c>
      <c r="AL281" s="3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s="6" customFormat="1" x14ac:dyDescent="0.25">
      <c r="A282" s="5"/>
      <c r="B282" s="4" t="s">
        <v>3</v>
      </c>
      <c r="C282" s="4" t="s">
        <v>4</v>
      </c>
      <c r="D282" s="4" t="s">
        <v>5</v>
      </c>
      <c r="E282" s="4" t="s">
        <v>6</v>
      </c>
      <c r="F282" s="4" t="s">
        <v>7</v>
      </c>
      <c r="G282" s="4" t="s">
        <v>8</v>
      </c>
      <c r="H282" s="4" t="s">
        <v>9</v>
      </c>
      <c r="I282" s="9" t="s">
        <v>10</v>
      </c>
      <c r="J282" s="4" t="s">
        <v>11</v>
      </c>
      <c r="K282" s="4" t="s">
        <v>12</v>
      </c>
      <c r="L282" s="4" t="s">
        <v>13</v>
      </c>
      <c r="M282" s="4" t="s">
        <v>14</v>
      </c>
      <c r="N282" s="4" t="s">
        <v>15</v>
      </c>
      <c r="O282" s="4" t="s">
        <v>16</v>
      </c>
      <c r="P282" s="4" t="s">
        <v>17</v>
      </c>
      <c r="Q282" s="4" t="s">
        <v>18</v>
      </c>
      <c r="R282" s="4" t="s">
        <v>19</v>
      </c>
      <c r="S282" s="4" t="s">
        <v>20</v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3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25" t="s">
        <v>328</v>
      </c>
      <c r="B283" s="11" t="s">
        <v>22</v>
      </c>
      <c r="C283" s="11" t="s">
        <v>23</v>
      </c>
      <c r="D283" s="11" t="s">
        <v>3</v>
      </c>
      <c r="E283" s="11" t="s">
        <v>4</v>
      </c>
      <c r="F283" s="11" t="s">
        <v>24</v>
      </c>
      <c r="G283" s="11" t="s">
        <v>25</v>
      </c>
      <c r="H283" s="11" t="s">
        <v>26</v>
      </c>
      <c r="I283" s="12" t="s">
        <v>27</v>
      </c>
      <c r="J283" s="11" t="s">
        <v>28</v>
      </c>
      <c r="K283" s="11" t="s">
        <v>29</v>
      </c>
      <c r="L283" s="11" t="s">
        <v>30</v>
      </c>
      <c r="M283" s="11" t="s">
        <v>31</v>
      </c>
      <c r="N283" s="11" t="s">
        <v>32</v>
      </c>
      <c r="O283" s="11" t="s">
        <v>33</v>
      </c>
      <c r="P283" s="11" t="s">
        <v>20</v>
      </c>
      <c r="Q283" s="11"/>
      <c r="R283" s="11"/>
      <c r="S283" s="11"/>
      <c r="T283" s="11" t="s">
        <v>34</v>
      </c>
      <c r="U283" s="11" t="s">
        <v>35</v>
      </c>
      <c r="V283" s="11" t="s">
        <v>36</v>
      </c>
      <c r="W283" s="11" t="s">
        <v>37</v>
      </c>
      <c r="X283" s="11" t="s">
        <v>38</v>
      </c>
      <c r="Y283" s="11" t="s">
        <v>39</v>
      </c>
      <c r="Z283" s="11" t="s">
        <v>40</v>
      </c>
      <c r="AA283" s="11" t="s">
        <v>41</v>
      </c>
      <c r="AB283" s="11" t="s">
        <v>42</v>
      </c>
      <c r="AC283" s="11" t="s">
        <v>43</v>
      </c>
      <c r="AD283" s="11" t="s">
        <v>44</v>
      </c>
      <c r="AE283" s="11" t="s">
        <v>45</v>
      </c>
      <c r="AF283" s="11" t="s">
        <v>46</v>
      </c>
      <c r="AG283" s="11" t="s">
        <v>47</v>
      </c>
      <c r="AH283" s="11" t="s">
        <v>48</v>
      </c>
      <c r="AI283" s="11" t="s">
        <v>49</v>
      </c>
      <c r="AJ283" s="11" t="s">
        <v>50</v>
      </c>
      <c r="AK283" s="13" t="s">
        <v>51</v>
      </c>
    </row>
    <row r="284" spans="1:50" x14ac:dyDescent="0.25">
      <c r="A284" t="s">
        <v>329</v>
      </c>
      <c r="B284" s="15">
        <v>1931</v>
      </c>
      <c r="C284" s="15">
        <v>183</v>
      </c>
      <c r="D284" s="16">
        <v>0.54790000000000005</v>
      </c>
      <c r="E284" s="16">
        <v>0.52829999999999999</v>
      </c>
      <c r="F284" s="15">
        <v>0.54</v>
      </c>
      <c r="G284" s="15">
        <v>10.119999999999999</v>
      </c>
      <c r="H284" s="15">
        <v>34</v>
      </c>
      <c r="I284" s="17">
        <v>75</v>
      </c>
      <c r="J284" s="15">
        <v>50</v>
      </c>
      <c r="K284" s="15">
        <v>9</v>
      </c>
      <c r="L284" s="16">
        <v>0.40479999999999999</v>
      </c>
      <c r="M284" s="16">
        <v>0.89280000000000004</v>
      </c>
      <c r="N284" s="16">
        <v>1.4200000000000001E-2</v>
      </c>
      <c r="O284" s="16">
        <v>0.1186</v>
      </c>
      <c r="P284" s="15">
        <v>29</v>
      </c>
      <c r="Q284" s="15"/>
      <c r="R284" s="15"/>
      <c r="S284" s="15"/>
      <c r="T284" s="15">
        <v>5.5</v>
      </c>
      <c r="U284" s="15">
        <v>0.2</v>
      </c>
      <c r="V284" s="15">
        <v>1</v>
      </c>
      <c r="W284" s="15"/>
      <c r="X284" s="19">
        <f>IF(B284=0,0,100*(C284+2*H284+3*I284)/B284)</f>
        <v>24.650440186431901</v>
      </c>
      <c r="Y284" s="19">
        <f>IF(C284=0,0,(J284+K284)/C284)</f>
        <v>0.32240437158469948</v>
      </c>
      <c r="Z284" s="19"/>
      <c r="AA284" s="19">
        <f>MAX(0,MIN(10,5+50*(D284-0.55)+25*(E284-F284)))</f>
        <v>4.6024999999999991</v>
      </c>
      <c r="AB284" s="19">
        <f>MAX(0,MIN(10,0.2*G284+5*Y284))</f>
        <v>3.6360218579234975</v>
      </c>
      <c r="AC284" s="19">
        <f t="shared" ref="AC284:AC303" si="229">MAX(0,MIN(10,X284/4))</f>
        <v>6.1626100466079752</v>
      </c>
      <c r="AD284" s="19">
        <f>MAX(0,MIN(10,2+0.15*G284+4*Y284-0.03*((L284+M284)/2)))</f>
        <v>4.7881534863387971</v>
      </c>
      <c r="AE284" s="19">
        <f>MAX(0,MIN(10,0.15*N284+0.08*O284))</f>
        <v>1.1618E-2</v>
      </c>
      <c r="AF284" s="19"/>
      <c r="AG284" s="19"/>
      <c r="AH284" s="19">
        <f>MAX(0,MIN(10,P284/3.2-2*U284))</f>
        <v>8.6624999999999996</v>
      </c>
      <c r="AI284" s="19">
        <f>10*(0.22*AA284+0.2*AB284+0.18*AC284+0.12*AD284+0.1*AE284+0.13*T284+0.05*AH284)</f>
        <v>45.728893983347909</v>
      </c>
      <c r="AJ284" s="19">
        <f>AI284*V284</f>
        <v>45.728893983347909</v>
      </c>
      <c r="AK284" s="20">
        <f>AJ284*(P284/200)</f>
        <v>6.6306896275854461</v>
      </c>
    </row>
    <row r="285" spans="1:50" x14ac:dyDescent="0.25">
      <c r="A285" t="s">
        <v>330</v>
      </c>
      <c r="B285" s="15">
        <v>896</v>
      </c>
      <c r="C285" s="15">
        <v>123</v>
      </c>
      <c r="D285" s="16">
        <v>0.49199999999999999</v>
      </c>
      <c r="E285" s="16">
        <v>0.47439999999999999</v>
      </c>
      <c r="F285" s="15">
        <v>0.52</v>
      </c>
      <c r="G285" s="15">
        <v>14.13</v>
      </c>
      <c r="H285" s="15">
        <v>42</v>
      </c>
      <c r="I285" s="17">
        <v>48</v>
      </c>
      <c r="J285" s="15">
        <v>18</v>
      </c>
      <c r="K285" s="15">
        <v>3</v>
      </c>
      <c r="L285" s="18">
        <v>0.7</v>
      </c>
      <c r="M285" s="16">
        <v>0.94120000000000004</v>
      </c>
      <c r="N285" s="16">
        <v>2.7400000000000001E-2</v>
      </c>
      <c r="O285" s="16">
        <v>8.7800000000000003E-2</v>
      </c>
      <c r="P285" s="15">
        <v>16</v>
      </c>
      <c r="Q285" s="15"/>
      <c r="R285" s="15"/>
      <c r="S285" s="15"/>
      <c r="T285" s="15">
        <v>4.5</v>
      </c>
      <c r="U285" s="15">
        <v>0.2</v>
      </c>
      <c r="V285" s="15">
        <v>1</v>
      </c>
      <c r="W285" s="15"/>
      <c r="X285" s="19">
        <f>IF(B285=0,0,100*(C285+2*H285+3*I285)/B285)</f>
        <v>39.174107142857146</v>
      </c>
      <c r="Y285" s="19">
        <f>IF(C285=0,0,(J285+K285)/C285)</f>
        <v>0.17073170731707318</v>
      </c>
      <c r="Z285" s="19"/>
      <c r="AA285" s="19">
        <f>MAX(0,MIN(10,5+50*(D285-0.55)+25*(E285-F285)))</f>
        <v>0.95999999999999663</v>
      </c>
      <c r="AB285" s="19">
        <f>MAX(0,MIN(10,0.2*G285+5*Y285))</f>
        <v>3.6796585365853662</v>
      </c>
      <c r="AC285" s="19">
        <f t="shared" si="229"/>
        <v>9.7935267857142865</v>
      </c>
      <c r="AD285" s="19">
        <f>MAX(0,MIN(10,2+0.15*G285+4*Y285-0.03*((L285+M285)/2)))</f>
        <v>4.7778088292682925</v>
      </c>
      <c r="AE285" s="19">
        <f>MAX(0,MIN(10,0.15*N285+0.08*O285))</f>
        <v>1.1134000000000002E-2</v>
      </c>
      <c r="AF285" s="19"/>
      <c r="AG285" s="19"/>
      <c r="AH285" s="19">
        <f>MAX(0,MIN(10,P285/3.2-2*U285))</f>
        <v>4.5999999999999996</v>
      </c>
      <c r="AI285" s="19">
        <f>10*(0.22*AA285+0.2*AB285+0.18*AC285+0.12*AD285+0.1*AE285+0.13*T285+0.05*AH285)</f>
        <v>40.99416988257839</v>
      </c>
      <c r="AJ285" s="19">
        <f>AI285*V285</f>
        <v>40.99416988257839</v>
      </c>
      <c r="AK285" s="20">
        <f>AJ285*(P285/200)</f>
        <v>3.2795335906062713</v>
      </c>
    </row>
    <row r="286" spans="1:50" x14ac:dyDescent="0.25">
      <c r="A286" t="s">
        <v>331</v>
      </c>
      <c r="B286" s="16">
        <v>0.57799999999999996</v>
      </c>
      <c r="C286" s="16">
        <v>0.54300000000000004</v>
      </c>
      <c r="D286" s="15">
        <v>0.39700000000000002</v>
      </c>
      <c r="E286" s="15">
        <v>0.214</v>
      </c>
      <c r="F286" s="16">
        <v>3.5000000000000003E-2</v>
      </c>
      <c r="G286" s="16">
        <v>0.12</v>
      </c>
      <c r="H286" s="16">
        <v>0.185</v>
      </c>
      <c r="I286" s="23">
        <v>2.3E-2</v>
      </c>
      <c r="J286" s="16">
        <v>0.01</v>
      </c>
      <c r="K286" s="16">
        <v>0.13400000000000001</v>
      </c>
      <c r="L286" s="16">
        <v>0.219</v>
      </c>
      <c r="M286" s="15">
        <v>113.5</v>
      </c>
      <c r="N286" s="15">
        <v>84</v>
      </c>
      <c r="O286" s="15">
        <v>0.24</v>
      </c>
      <c r="P286" s="15">
        <v>6.4</v>
      </c>
      <c r="Q286" s="15">
        <v>3.9</v>
      </c>
      <c r="R286" s="15">
        <v>10.3</v>
      </c>
      <c r="S286" s="15">
        <v>10</v>
      </c>
      <c r="T286" s="15">
        <v>6</v>
      </c>
      <c r="U286" s="15">
        <v>0.2</v>
      </c>
      <c r="V286" s="15">
        <v>0.99</v>
      </c>
      <c r="W286" s="15">
        <v>1</v>
      </c>
      <c r="X286" s="19">
        <f>IF(B286=0,0,100*(C286+2*H286+3*I286)/B286)</f>
        <v>169.89619377162632</v>
      </c>
      <c r="Y286" s="19">
        <f>IF(C286=0,0,(J286+K286)/C286)</f>
        <v>0.26519337016574585</v>
      </c>
      <c r="Z286" s="19"/>
      <c r="AA286" s="19">
        <f>MAX(0,MIN(10,5+50*(D286-0.55)+25*(E286-F286)))</f>
        <v>1.8249999999999984</v>
      </c>
      <c r="AB286" s="19">
        <f>MAX(0,MIN(10,0.2*G286+5*Y286))</f>
        <v>1.3499668508287292</v>
      </c>
      <c r="AC286" s="19">
        <f t="shared" si="229"/>
        <v>10</v>
      </c>
      <c r="AD286" s="19">
        <f>MAX(0,MIN(10,2+0.15*G286+4*Y286-0.03*((L286+M286)/2)))</f>
        <v>1.3729884806629833</v>
      </c>
      <c r="AE286" s="19">
        <f>MAX(0,MIN(10,0.15*N286+0.08*O286))</f>
        <v>10</v>
      </c>
      <c r="AF286" s="19"/>
      <c r="AG286" s="19"/>
      <c r="AH286" s="19">
        <f>MAX(0,MIN(10,P286/3.2-2*U286))</f>
        <v>1.6</v>
      </c>
      <c r="AI286" s="19">
        <f>10*(0.22*AA286+0.2*AB286+0.18*AC286+0.12*AD286+0.1*AE286+0.13*T286+0.05*AH286)</f>
        <v>44.962519878453037</v>
      </c>
      <c r="AJ286" s="19">
        <f>AI286*V286</f>
        <v>44.512894679668506</v>
      </c>
      <c r="AK286" s="20">
        <f>AJ286*(P286/200)</f>
        <v>1.4244126297493922</v>
      </c>
    </row>
    <row r="287" spans="1:50" x14ac:dyDescent="0.25">
      <c r="A287" t="s">
        <v>332</v>
      </c>
      <c r="B287" s="15">
        <v>605</v>
      </c>
      <c r="C287" s="15">
        <v>92</v>
      </c>
      <c r="D287" s="16">
        <v>0.52869999999999995</v>
      </c>
      <c r="E287" s="16">
        <v>0.49340000000000001</v>
      </c>
      <c r="F287" s="15">
        <v>0.52</v>
      </c>
      <c r="G287" s="15">
        <v>15.21</v>
      </c>
      <c r="H287" s="15">
        <v>42</v>
      </c>
      <c r="I287" s="17">
        <v>3</v>
      </c>
      <c r="J287" s="15">
        <v>30</v>
      </c>
      <c r="K287" s="15">
        <v>0</v>
      </c>
      <c r="L287" s="16">
        <v>0.58330000000000004</v>
      </c>
      <c r="M287" s="18">
        <v>1</v>
      </c>
      <c r="N287" s="16">
        <v>8.6800000000000002E-2</v>
      </c>
      <c r="O287" s="16">
        <v>0.15509999999999999</v>
      </c>
      <c r="P287" s="15">
        <v>18</v>
      </c>
      <c r="Q287" s="15"/>
      <c r="R287" s="15"/>
      <c r="S287" s="15"/>
      <c r="T287" s="15">
        <v>6</v>
      </c>
      <c r="U287" s="15">
        <v>0.2</v>
      </c>
      <c r="V287" s="15">
        <v>1</v>
      </c>
      <c r="W287" s="15"/>
      <c r="X287" s="19">
        <f>IF(B287=0,0,100*(C287+2*H287+3*I287)/B287)</f>
        <v>30.578512396694215</v>
      </c>
      <c r="Y287" s="19">
        <f>IF(C287=0,0,(J287+K287)/C287)</f>
        <v>0.32608695652173914</v>
      </c>
      <c r="Z287" s="19"/>
      <c r="AA287" s="19">
        <f>MAX(0,MIN(10,5+50*(D287-0.55)+25*(E287-F287)))</f>
        <v>3.2699999999999951</v>
      </c>
      <c r="AB287" s="19">
        <f>MAX(0,MIN(10,0.2*G287+5*Y287))</f>
        <v>4.672434782608696</v>
      </c>
      <c r="AC287" s="19">
        <f t="shared" si="229"/>
        <v>7.6446280991735538</v>
      </c>
      <c r="AD287" s="19">
        <f>MAX(0,MIN(10,2+0.15*G287+4*Y287-0.03*((L287+M287)/2)))</f>
        <v>5.5620983260869563</v>
      </c>
      <c r="AE287" s="19">
        <f>MAX(0,MIN(10,0.15*N287+0.08*O287))</f>
        <v>2.5427999999999999E-2</v>
      </c>
      <c r="AF287" s="19"/>
      <c r="AG287" s="19"/>
      <c r="AH287" s="19">
        <f>MAX(0,MIN(10,P287/3.2-2*U287))</f>
        <v>5.2249999999999996</v>
      </c>
      <c r="AI287" s="19">
        <f>10*(0.22*AA287+0.2*AB287+0.18*AC287+0.12*AD287+0.1*AE287+0.13*T287+0.05*AH287)</f>
        <v>47.411646135034132</v>
      </c>
      <c r="AJ287" s="19">
        <f>AI287*V287</f>
        <v>47.411646135034132</v>
      </c>
      <c r="AK287" s="20">
        <f>AJ287*(P287/200)</f>
        <v>4.2670481521530714</v>
      </c>
    </row>
    <row r="288" spans="1:50" x14ac:dyDescent="0.25">
      <c r="A288" t="s">
        <v>333</v>
      </c>
      <c r="B288" s="15">
        <v>950</v>
      </c>
      <c r="C288" s="15">
        <v>170</v>
      </c>
      <c r="D288" s="16">
        <v>0.48559999999999998</v>
      </c>
      <c r="E288" s="16">
        <v>0.46339999999999998</v>
      </c>
      <c r="F288" s="15">
        <v>0.49</v>
      </c>
      <c r="G288" s="15">
        <v>18.93</v>
      </c>
      <c r="H288" s="15">
        <v>18</v>
      </c>
      <c r="I288" s="17">
        <v>60</v>
      </c>
      <c r="J288" s="15">
        <v>50</v>
      </c>
      <c r="K288" s="15">
        <v>24</v>
      </c>
      <c r="L288" s="16">
        <v>0.26469999999999999</v>
      </c>
      <c r="M288" s="16">
        <v>0.71430000000000005</v>
      </c>
      <c r="N288" s="16">
        <v>2.4500000000000001E-2</v>
      </c>
      <c r="O288" s="16">
        <v>5.3699999999999998E-2</v>
      </c>
      <c r="P288" s="15">
        <v>14.5</v>
      </c>
      <c r="Q288" s="15"/>
      <c r="R288" s="15"/>
      <c r="S288" s="15"/>
      <c r="T288" s="15">
        <v>3.5</v>
      </c>
      <c r="U288" s="15">
        <v>0.2</v>
      </c>
      <c r="V288" s="15">
        <v>1</v>
      </c>
      <c r="W288" s="15"/>
      <c r="X288" s="19">
        <f>IF(B288=0,0,100*(C288+2*H288+3*I288)/B288)</f>
        <v>40.631578947368418</v>
      </c>
      <c r="Y288" s="19">
        <f>IF(C288=0,0,(J288+K288)/C288)</f>
        <v>0.43529411764705883</v>
      </c>
      <c r="Z288" s="19"/>
      <c r="AA288" s="19">
        <f>MAX(0,MIN(10,5+50*(D288-0.55)+25*(E288-F288)))</f>
        <v>1.1149999999999964</v>
      </c>
      <c r="AB288" s="19">
        <f>MAX(0,MIN(10,0.2*G288+5*Y288))</f>
        <v>5.9624705882352949</v>
      </c>
      <c r="AC288" s="19">
        <f t="shared" si="229"/>
        <v>10</v>
      </c>
      <c r="AD288" s="19">
        <f>MAX(0,MIN(10,2+0.15*G288+4*Y288-0.03*((L288+M288)/2)))</f>
        <v>6.5659914705882345</v>
      </c>
      <c r="AE288" s="19">
        <f>MAX(0,MIN(10,0.15*N288+0.08*O288))</f>
        <v>7.9710000000000007E-3</v>
      </c>
      <c r="AF288" s="19"/>
      <c r="AG288" s="19"/>
      <c r="AH288" s="19">
        <f>MAX(0,MIN(10,P288/3.2-2*U288))</f>
        <v>4.1312499999999996</v>
      </c>
      <c r="AI288" s="19">
        <f>10*(0.22*AA288+0.2*AB288+0.18*AC288+0.12*AD288+0.1*AE288+0.13*T288+0.05*AH288)</f>
        <v>46.880726941176448</v>
      </c>
      <c r="AJ288" s="19">
        <f>AI288*V288</f>
        <v>46.880726941176448</v>
      </c>
      <c r="AK288" s="20">
        <f>AJ288*(P288/200)</f>
        <v>3.3988527032352924</v>
      </c>
    </row>
    <row r="289" spans="1:50" x14ac:dyDescent="0.25">
      <c r="A289" t="s">
        <v>334</v>
      </c>
      <c r="B289" s="15">
        <v>982</v>
      </c>
      <c r="C289" s="15">
        <v>231</v>
      </c>
      <c r="D289" s="16">
        <v>0.53720000000000001</v>
      </c>
      <c r="E289" s="16">
        <v>0.4844</v>
      </c>
      <c r="F289" s="15">
        <v>0.52</v>
      </c>
      <c r="G289" s="15">
        <v>23.41</v>
      </c>
      <c r="H289" s="15">
        <v>130</v>
      </c>
      <c r="I289" s="17">
        <v>24</v>
      </c>
      <c r="J289" s="15">
        <v>32</v>
      </c>
      <c r="K289" s="15">
        <v>0</v>
      </c>
      <c r="L289" s="16">
        <v>0.80249999999999999</v>
      </c>
      <c r="M289" s="18">
        <v>1</v>
      </c>
      <c r="N289" s="16">
        <v>6.2199999999999998E-2</v>
      </c>
      <c r="O289" s="16">
        <v>0.13589999999999999</v>
      </c>
      <c r="P289" s="15">
        <v>11</v>
      </c>
      <c r="Q289" s="15"/>
      <c r="R289" s="15"/>
      <c r="S289" s="15"/>
      <c r="T289" s="15">
        <v>5</v>
      </c>
      <c r="U289" s="15">
        <v>0.2</v>
      </c>
      <c r="V289" s="15">
        <v>0.98</v>
      </c>
      <c r="W289" s="15"/>
      <c r="X289" s="19">
        <f>IF(B289=0,0,100*(C289+2*H289+3*I289)/B289)</f>
        <v>57.331975560081467</v>
      </c>
      <c r="Y289" s="19">
        <f>IF(C289=0,0,(J289+K289)/C289)</f>
        <v>0.13852813852813853</v>
      </c>
      <c r="Z289" s="19"/>
      <c r="AA289" s="19">
        <f>MAX(0,MIN(10,5+50*(D289-0.55)+25*(E289-F289)))</f>
        <v>3.469999999999998</v>
      </c>
      <c r="AB289" s="19">
        <f>MAX(0,MIN(10,0.2*G289+5*Y289))</f>
        <v>5.3746406926406927</v>
      </c>
      <c r="AC289" s="19">
        <f t="shared" si="229"/>
        <v>10</v>
      </c>
      <c r="AD289" s="19">
        <f>MAX(0,MIN(10,2+0.15*G289+4*Y289-0.03*((L289+M289)/2)))</f>
        <v>6.0385750541125542</v>
      </c>
      <c r="AE289" s="19">
        <f>MAX(0,MIN(10,0.15*N289+0.08*O289))</f>
        <v>2.0201999999999998E-2</v>
      </c>
      <c r="AF289" s="19"/>
      <c r="AG289" s="19"/>
      <c r="AH289" s="19">
        <f>MAX(0,MIN(10,P289/3.2-2*U289))</f>
        <v>3.0375000000000001</v>
      </c>
      <c r="AI289" s="19">
        <f>10*(0.22*AA289+0.2*AB289+0.18*AC289+0.12*AD289+0.1*AE289+0.13*T289+0.05*AH289)</f>
        <v>51.668523450216448</v>
      </c>
      <c r="AJ289" s="19">
        <f>AI289*V289</f>
        <v>50.635152981212116</v>
      </c>
      <c r="AK289" s="20">
        <f>AJ289*(P289/200)</f>
        <v>2.7849334139666664</v>
      </c>
    </row>
    <row r="290" spans="1:50" x14ac:dyDescent="0.25">
      <c r="A290" t="s">
        <v>335</v>
      </c>
      <c r="B290" s="15">
        <v>1328</v>
      </c>
      <c r="C290" s="15">
        <v>169</v>
      </c>
      <c r="D290" s="16">
        <v>0.47460000000000002</v>
      </c>
      <c r="E290" s="16">
        <v>0.45319999999999999</v>
      </c>
      <c r="F290" s="15">
        <v>0.51</v>
      </c>
      <c r="G290" s="15">
        <v>13.67</v>
      </c>
      <c r="H290" s="15">
        <v>28</v>
      </c>
      <c r="I290" s="17">
        <v>108</v>
      </c>
      <c r="J290" s="15">
        <v>16</v>
      </c>
      <c r="K290" s="15">
        <v>3</v>
      </c>
      <c r="L290" s="16">
        <v>0.63639999999999997</v>
      </c>
      <c r="M290" s="16">
        <v>0.97299999999999998</v>
      </c>
      <c r="N290" s="16">
        <v>2.07E-2</v>
      </c>
      <c r="O290" s="16">
        <v>7.7200000000000005E-2</v>
      </c>
      <c r="P290" s="15">
        <v>15</v>
      </c>
      <c r="Q290" s="15"/>
      <c r="R290" s="15"/>
      <c r="S290" s="15"/>
      <c r="T290" s="15">
        <v>4</v>
      </c>
      <c r="U290" s="15">
        <v>0.2</v>
      </c>
      <c r="V290" s="15">
        <v>0.98</v>
      </c>
      <c r="W290" s="15"/>
      <c r="X290" s="19">
        <f>IF(B290=0,0,100*(C290+2*H290+3*I290)/B290)</f>
        <v>41.340361445783131</v>
      </c>
      <c r="Y290" s="19">
        <f>IF(C290=0,0,(J290+K290)/C290)</f>
        <v>0.11242603550295859</v>
      </c>
      <c r="Z290" s="19"/>
      <c r="AA290" s="19">
        <f>MAX(0,MIN(10,5+50*(D290-0.55)+25*(E290-F290)))</f>
        <v>0</v>
      </c>
      <c r="AB290" s="19">
        <f>MAX(0,MIN(10,0.2*G290+5*Y290))</f>
        <v>3.2961301775147929</v>
      </c>
      <c r="AC290" s="19">
        <f t="shared" si="229"/>
        <v>10</v>
      </c>
      <c r="AD290" s="19">
        <f>MAX(0,MIN(10,2+0.15*G290+4*Y290-0.03*((L290+M290)/2)))</f>
        <v>4.4760631420118333</v>
      </c>
      <c r="AE290" s="19">
        <f>MAX(0,MIN(10,0.15*N290+0.08*O290))</f>
        <v>9.2810000000000011E-3</v>
      </c>
      <c r="AF290" s="19"/>
      <c r="AG290" s="19"/>
      <c r="AH290" s="19">
        <f>MAX(0,MIN(10,P290/3.2-2*U290))</f>
        <v>4.2874999999999996</v>
      </c>
      <c r="AI290" s="19">
        <f>10*(0.22*AA290+0.2*AB290+0.18*AC290+0.12*AD290+0.1*AE290+0.13*T290+0.05*AH290)</f>
        <v>37.316567125443783</v>
      </c>
      <c r="AJ290" s="19">
        <f>AI290*V290</f>
        <v>36.570235782934908</v>
      </c>
      <c r="AK290" s="20">
        <f>AJ290*(P290/200)</f>
        <v>2.742767683720118</v>
      </c>
    </row>
    <row r="291" spans="1:50" x14ac:dyDescent="0.25">
      <c r="A291" t="s">
        <v>336</v>
      </c>
      <c r="B291" s="16">
        <v>0.55100000000000005</v>
      </c>
      <c r="C291" s="16">
        <v>0.52400000000000002</v>
      </c>
      <c r="D291" s="15">
        <v>2.8000000000000001E-2</v>
      </c>
      <c r="E291" s="15">
        <v>0.45200000000000001</v>
      </c>
      <c r="F291" s="16">
        <v>0.114</v>
      </c>
      <c r="G291" s="16">
        <v>0.19800000000000001</v>
      </c>
      <c r="H291" s="16">
        <v>8.2000000000000003E-2</v>
      </c>
      <c r="I291" s="23">
        <v>1.6E-2</v>
      </c>
      <c r="J291" s="16">
        <v>6.0999999999999999E-2</v>
      </c>
      <c r="K291" s="16">
        <v>0.17</v>
      </c>
      <c r="L291" s="16">
        <v>0.186</v>
      </c>
      <c r="M291" s="15">
        <v>107.8</v>
      </c>
      <c r="N291" s="15">
        <v>82.5</v>
      </c>
      <c r="O291" s="15">
        <v>0.20499999999999999</v>
      </c>
      <c r="P291" s="15">
        <v>3.4</v>
      </c>
      <c r="Q291" s="15">
        <v>5.0999999999999996</v>
      </c>
      <c r="R291" s="15">
        <v>8.5</v>
      </c>
      <c r="S291" s="15">
        <v>4</v>
      </c>
      <c r="T291" s="15">
        <v>7</v>
      </c>
      <c r="U291" s="15">
        <v>0.2</v>
      </c>
      <c r="V291" s="15">
        <v>0.94</v>
      </c>
      <c r="W291" s="15">
        <v>0.95</v>
      </c>
      <c r="X291" s="19">
        <f>IF(B291=0,0,100*(C291+2*H291+3*I291)/B291)</f>
        <v>133.57531760435572</v>
      </c>
      <c r="Y291" s="19">
        <f>IF(C291=0,0,(J291+K291)/C291)</f>
        <v>0.44083969465648853</v>
      </c>
      <c r="Z291" s="19"/>
      <c r="AA291" s="19">
        <f>MAX(0,MIN(10,5+50*(D291-0.55)+25*(E291-F291)))</f>
        <v>0</v>
      </c>
      <c r="AB291" s="19">
        <f>MAX(0,MIN(10,0.2*G291+5*Y291))</f>
        <v>2.2437984732824425</v>
      </c>
      <c r="AC291" s="19">
        <f t="shared" si="229"/>
        <v>10</v>
      </c>
      <c r="AD291" s="19">
        <f>MAX(0,MIN(10,2+0.15*G291+4*Y291-0.03*((L291+M291)/2)))</f>
        <v>2.1732687786259541</v>
      </c>
      <c r="AE291" s="19">
        <f>MAX(0,MIN(10,0.15*N291+0.08*O291))</f>
        <v>10</v>
      </c>
      <c r="AF291" s="19"/>
      <c r="AG291" s="19"/>
      <c r="AH291" s="19">
        <f>MAX(0,MIN(10,P291/3.2-2*U291))</f>
        <v>0.66249999999999998</v>
      </c>
      <c r="AI291" s="19">
        <f>10*(0.22*AA291+0.2*AB291+0.18*AC291+0.12*AD291+0.1*AE291+0.13*T291+0.05*AH291)</f>
        <v>44.52676948091603</v>
      </c>
      <c r="AJ291" s="19">
        <f>AI291*V291</f>
        <v>41.855163312061066</v>
      </c>
      <c r="AK291" s="20">
        <f>AJ291*(P291/200)</f>
        <v>0.71153777630503823</v>
      </c>
    </row>
    <row r="292" spans="1:50" x14ac:dyDescent="0.25">
      <c r="A292" t="s">
        <v>337</v>
      </c>
      <c r="B292" s="15">
        <v>2134</v>
      </c>
      <c r="C292" s="15">
        <v>504</v>
      </c>
      <c r="D292" s="16">
        <v>0.47339999999999999</v>
      </c>
      <c r="E292" s="16">
        <v>0.43440000000000001</v>
      </c>
      <c r="F292" s="15">
        <v>0.48</v>
      </c>
      <c r="G292" s="15">
        <v>25.41</v>
      </c>
      <c r="H292" s="15">
        <v>106</v>
      </c>
      <c r="I292" s="17">
        <v>132</v>
      </c>
      <c r="J292" s="15">
        <v>120</v>
      </c>
      <c r="K292" s="15">
        <v>66</v>
      </c>
      <c r="L292" s="16">
        <v>0.46899999999999997</v>
      </c>
      <c r="M292" s="16">
        <v>0.66669999999999996</v>
      </c>
      <c r="N292" s="16">
        <v>1.61E-2</v>
      </c>
      <c r="O292" s="16">
        <v>0.1336</v>
      </c>
      <c r="P292" s="15">
        <v>33</v>
      </c>
      <c r="Q292" s="15"/>
      <c r="R292" s="15"/>
      <c r="S292" s="15"/>
      <c r="T292" s="15">
        <v>6</v>
      </c>
      <c r="U292" s="15">
        <v>0.2</v>
      </c>
      <c r="V292" s="15">
        <v>1.05</v>
      </c>
      <c r="W292" s="15"/>
      <c r="X292" s="19">
        <f>IF(B292=0,0,100*(C292+2*H292+3*I292)/B292)</f>
        <v>52.108716026241801</v>
      </c>
      <c r="Y292" s="19">
        <f>IF(C292=0,0,(J292+K292)/C292)</f>
        <v>0.36904761904761907</v>
      </c>
      <c r="Z292" s="19"/>
      <c r="AA292" s="19">
        <f>MAX(0,MIN(10,5+50*(D292-0.55)+25*(E292-F292)))</f>
        <v>2.9999999999998028E-2</v>
      </c>
      <c r="AB292" s="19">
        <f>MAX(0,MIN(10,0.2*G292+5*Y292))</f>
        <v>6.9272380952380956</v>
      </c>
      <c r="AC292" s="19">
        <f t="shared" si="229"/>
        <v>10</v>
      </c>
      <c r="AD292" s="19">
        <f>MAX(0,MIN(10,2+0.15*G292+4*Y292-0.03*((L292+M292)/2)))</f>
        <v>7.2706549761904755</v>
      </c>
      <c r="AE292" s="19">
        <f>MAX(0,MIN(10,0.15*N292+0.08*O292))</f>
        <v>1.3103E-2</v>
      </c>
      <c r="AF292" s="19"/>
      <c r="AG292" s="19"/>
      <c r="AH292" s="19">
        <f>MAX(0,MIN(10,P292/3.2-2*U292))</f>
        <v>9.9124999999999996</v>
      </c>
      <c r="AI292" s="19">
        <f>10*(0.22*AA292+0.2*AB292+0.18*AC292+0.12*AD292+0.1*AE292+0.13*T292+0.05*AH292)</f>
        <v>53.414615161904763</v>
      </c>
      <c r="AJ292" s="19">
        <f>AI292*V292</f>
        <v>56.085345920000002</v>
      </c>
      <c r="AK292" s="20">
        <f>AJ292*(P292/200)</f>
        <v>9.2540820768000014</v>
      </c>
    </row>
    <row r="293" spans="1:50" x14ac:dyDescent="0.25">
      <c r="A293" t="s">
        <v>338</v>
      </c>
      <c r="B293" s="16">
        <v>0.45300000000000001</v>
      </c>
      <c r="C293" s="16">
        <v>0.42499999999999999</v>
      </c>
      <c r="D293" s="16">
        <v>0.64700000000000002</v>
      </c>
      <c r="E293" s="16">
        <v>0.15</v>
      </c>
      <c r="F293" s="16">
        <v>6.0000000000000001E-3</v>
      </c>
      <c r="G293" s="16">
        <v>8.7999999999999995E-2</v>
      </c>
      <c r="H293" s="16">
        <v>0.14199999999999999</v>
      </c>
      <c r="I293" s="23">
        <v>2.1999999999999999E-2</v>
      </c>
      <c r="J293" s="16">
        <v>0</v>
      </c>
      <c r="K293" s="16">
        <v>0.127</v>
      </c>
      <c r="L293" s="16">
        <v>0.188</v>
      </c>
      <c r="M293" s="15">
        <v>99.1</v>
      </c>
      <c r="N293" s="15">
        <v>87.7</v>
      </c>
      <c r="O293" s="16">
        <v>0.13600000000000001</v>
      </c>
      <c r="P293" s="15">
        <v>2</v>
      </c>
      <c r="Q293" s="15">
        <v>3.3</v>
      </c>
      <c r="R293" s="15">
        <v>5.3</v>
      </c>
      <c r="S293" s="15">
        <v>6</v>
      </c>
      <c r="T293" s="15">
        <v>4.5</v>
      </c>
      <c r="U293" s="15">
        <v>0.2</v>
      </c>
      <c r="V293" s="15">
        <v>0.94</v>
      </c>
      <c r="W293" s="15">
        <v>0.91</v>
      </c>
      <c r="X293" s="19">
        <f>IF(B293=0,0,100*(C293+2*H293+3*I293)/B293)</f>
        <v>171.08167770419422</v>
      </c>
      <c r="Y293" s="19">
        <f>IF(C293=0,0,(J293+K293)/C293)</f>
        <v>0.29882352941176471</v>
      </c>
      <c r="Z293" s="19"/>
      <c r="AA293" s="19">
        <f>MAX(0,MIN(10,5+50*(D293-0.55)+25*(E293-F293)))</f>
        <v>10</v>
      </c>
      <c r="AB293" s="19">
        <f>MAX(0,MIN(10,0.2*G293+5*Y293))</f>
        <v>1.5117176470588236</v>
      </c>
      <c r="AC293" s="19">
        <f t="shared" si="229"/>
        <v>10</v>
      </c>
      <c r="AD293" s="19">
        <f>MAX(0,MIN(10,2+0.15*G293+4*Y293-0.03*((L293+M293)/2)))</f>
        <v>1.7191741176470587</v>
      </c>
      <c r="AE293" s="19">
        <f>MAX(0,MIN(10,0.15*N293+0.08*O293))</f>
        <v>10</v>
      </c>
      <c r="AF293" s="19"/>
      <c r="AG293" s="19"/>
      <c r="AH293" s="19">
        <f>MAX(0,MIN(10,P293/3.2-2*U293))</f>
        <v>0.22499999999999998</v>
      </c>
      <c r="AI293" s="19">
        <f>10*(0.22*AA293+0.2*AB293+0.18*AC293+0.12*AD293+0.1*AE293+0.13*T293+0.05*AH293)</f>
        <v>61.048944235294123</v>
      </c>
      <c r="AJ293" s="19">
        <f>AI293*V293</f>
        <v>57.386007581176472</v>
      </c>
      <c r="AK293" s="20">
        <f>AJ293*(P293/200)</f>
        <v>0.57386007581176468</v>
      </c>
    </row>
    <row r="294" spans="1:50" x14ac:dyDescent="0.25">
      <c r="A294" t="s">
        <v>339</v>
      </c>
      <c r="B294" s="16">
        <v>0.58899999999999997</v>
      </c>
      <c r="C294" s="16">
        <v>0.53800000000000003</v>
      </c>
      <c r="D294" s="16">
        <v>0.36799999999999999</v>
      </c>
      <c r="E294" s="16">
        <v>0.28899999999999998</v>
      </c>
      <c r="F294" s="16">
        <v>7.4999999999999997E-2</v>
      </c>
      <c r="G294" s="16">
        <v>0.17599999999999999</v>
      </c>
      <c r="H294" s="16">
        <v>0.17199999999999999</v>
      </c>
      <c r="I294" s="23">
        <v>2.4E-2</v>
      </c>
      <c r="J294" s="16">
        <v>8.0000000000000002E-3</v>
      </c>
      <c r="K294" s="16">
        <v>0.14599999999999999</v>
      </c>
      <c r="L294" s="16">
        <v>0.23499999999999999</v>
      </c>
      <c r="M294" s="15">
        <v>111.6</v>
      </c>
      <c r="N294" s="15">
        <v>85.3</v>
      </c>
      <c r="O294" s="16">
        <v>0.22800000000000001</v>
      </c>
      <c r="P294" s="15">
        <v>5.9</v>
      </c>
      <c r="Q294" s="15">
        <v>4</v>
      </c>
      <c r="R294" s="15">
        <v>9.9</v>
      </c>
      <c r="S294" s="15">
        <v>8</v>
      </c>
      <c r="T294" s="15">
        <v>6</v>
      </c>
      <c r="U294" s="15">
        <v>0.2</v>
      </c>
      <c r="V294" s="15">
        <v>0.98</v>
      </c>
      <c r="W294" s="15">
        <v>0.98</v>
      </c>
      <c r="X294" s="19">
        <f>IF(B294=0,0,100*(C294+2*H294+3*I294)/B294)</f>
        <v>161.96943972835314</v>
      </c>
      <c r="Y294" s="19">
        <f>IF(C294=0,0,(J294+K294)/C294)</f>
        <v>0.28624535315985128</v>
      </c>
      <c r="Z294" s="19"/>
      <c r="AA294" s="19">
        <f>MAX(0,MIN(10,5+50*(D294-0.55)+25*(E294-F294)))</f>
        <v>1.2499999999999964</v>
      </c>
      <c r="AB294" s="19">
        <f>MAX(0,MIN(10,0.2*G294+5*Y294))</f>
        <v>1.4664267657992562</v>
      </c>
      <c r="AC294" s="19">
        <f t="shared" si="229"/>
        <v>10</v>
      </c>
      <c r="AD294" s="19">
        <f>MAX(0,MIN(10,2+0.15*G294+4*Y294-0.03*((L294+M294)/2)))</f>
        <v>1.4938564126394056</v>
      </c>
      <c r="AE294" s="19">
        <f>MAX(0,MIN(10,0.15*N294+0.08*O294))</f>
        <v>10</v>
      </c>
      <c r="AF294" s="19"/>
      <c r="AG294" s="19"/>
      <c r="AH294" s="19">
        <f>MAX(0,MIN(10,P294/3.2-2*U294))</f>
        <v>1.4437500000000001</v>
      </c>
      <c r="AI294" s="19">
        <f>10*(0.22*AA294+0.2*AB294+0.18*AC294+0.12*AD294+0.1*AE294+0.13*T294+0.05*AH294)</f>
        <v>43.997356226765795</v>
      </c>
      <c r="AJ294" s="19">
        <f>AI294*V294</f>
        <v>43.117409102230482</v>
      </c>
      <c r="AK294" s="20">
        <f>AJ294*(P294/200)</f>
        <v>1.2719635685157993</v>
      </c>
    </row>
    <row r="295" spans="1:50" x14ac:dyDescent="0.25">
      <c r="A295" t="s">
        <v>340</v>
      </c>
      <c r="B295" s="16">
        <v>0.53200000000000003</v>
      </c>
      <c r="C295" s="16">
        <v>0.48899999999999999</v>
      </c>
      <c r="D295" s="16">
        <v>0.28899999999999998</v>
      </c>
      <c r="E295" s="16">
        <v>0.218</v>
      </c>
      <c r="F295" s="16">
        <v>2.1999999999999999E-2</v>
      </c>
      <c r="G295" s="16">
        <v>0.105</v>
      </c>
      <c r="H295" s="16">
        <v>0.318</v>
      </c>
      <c r="I295" s="23">
        <v>2.8000000000000001E-2</v>
      </c>
      <c r="J295" s="16">
        <v>2E-3</v>
      </c>
      <c r="K295" s="16">
        <v>0.159</v>
      </c>
      <c r="L295" s="16">
        <v>0.221</v>
      </c>
      <c r="M295" s="15">
        <v>108.9</v>
      </c>
      <c r="N295" s="15">
        <v>88.4</v>
      </c>
      <c r="O295" s="16">
        <v>0.185</v>
      </c>
      <c r="P295" s="15">
        <v>6.2</v>
      </c>
      <c r="Q295" s="15">
        <v>2.1</v>
      </c>
      <c r="R295" s="15">
        <v>8.3000000000000007</v>
      </c>
      <c r="S295" s="15">
        <v>3</v>
      </c>
      <c r="T295" s="15">
        <v>4.5</v>
      </c>
      <c r="U295" s="15">
        <v>0.2</v>
      </c>
      <c r="V295" s="15">
        <v>0.96</v>
      </c>
      <c r="W295" s="15">
        <v>0.95</v>
      </c>
      <c r="X295" s="19">
        <f>IF(B295=0,0,100*(C295+2*H295+3*I295)/B295)</f>
        <v>227.25563909774436</v>
      </c>
      <c r="Y295" s="19">
        <f>IF(C295=0,0,(J295+K295)/C295)</f>
        <v>0.32924335378323111</v>
      </c>
      <c r="Z295" s="19"/>
      <c r="AA295" s="19">
        <f>MAX(0,MIN(10,5+50*(D295-0.55)+25*(E295-F295)))</f>
        <v>0</v>
      </c>
      <c r="AB295" s="19">
        <f>MAX(0,MIN(10,0.2*G295+5*Y295))</f>
        <v>1.6672167689161554</v>
      </c>
      <c r="AC295" s="19">
        <f t="shared" si="229"/>
        <v>10</v>
      </c>
      <c r="AD295" s="19">
        <f>MAX(0,MIN(10,2+0.15*G295+4*Y295-0.03*((L295+M295)/2)))</f>
        <v>1.6959084151329245</v>
      </c>
      <c r="AE295" s="19">
        <f>MAX(0,MIN(10,0.15*N295+0.08*O295))</f>
        <v>10</v>
      </c>
      <c r="AF295" s="19"/>
      <c r="AG295" s="19"/>
      <c r="AH295" s="19">
        <f>MAX(0,MIN(10,P295/3.2-2*U295))</f>
        <v>1.5375000000000001</v>
      </c>
      <c r="AI295" s="19">
        <f>10*(0.22*AA295+0.2*AB295+0.18*AC295+0.12*AD295+0.1*AE295+0.13*T295+0.05*AH295)</f>
        <v>39.988273635991817</v>
      </c>
      <c r="AJ295" s="19">
        <f>AI295*V295</f>
        <v>38.388742690552142</v>
      </c>
      <c r="AK295" s="20">
        <f>AJ295*(P295/200)</f>
        <v>1.1900510234071164</v>
      </c>
    </row>
    <row r="296" spans="1:50" x14ac:dyDescent="0.25">
      <c r="A296" t="s">
        <v>341</v>
      </c>
      <c r="B296" s="16">
        <v>0.60299999999999998</v>
      </c>
      <c r="C296" s="16">
        <v>0.53400000000000003</v>
      </c>
      <c r="D296" s="16">
        <v>0.23200000000000001</v>
      </c>
      <c r="E296" s="16">
        <v>0.41799999999999998</v>
      </c>
      <c r="F296" s="16">
        <v>0.06</v>
      </c>
      <c r="G296" s="16">
        <v>0.14799999999999999</v>
      </c>
      <c r="H296" s="16">
        <v>0.217</v>
      </c>
      <c r="I296" s="23">
        <v>2.8000000000000001E-2</v>
      </c>
      <c r="J296" s="16">
        <v>1.2999999999999999E-2</v>
      </c>
      <c r="K296" s="16">
        <v>0.12</v>
      </c>
      <c r="L296" s="16">
        <v>0.218</v>
      </c>
      <c r="M296" s="15">
        <v>133.80000000000001</v>
      </c>
      <c r="N296" s="15">
        <v>82.8</v>
      </c>
      <c r="O296" s="16">
        <v>0.33600000000000002</v>
      </c>
      <c r="P296" s="15">
        <v>11.1</v>
      </c>
      <c r="Q296" s="15">
        <v>7.2</v>
      </c>
      <c r="R296" s="15">
        <v>18.399999999999999</v>
      </c>
      <c r="S296" s="15">
        <v>18</v>
      </c>
      <c r="T296" s="15">
        <v>6</v>
      </c>
      <c r="U296" s="15">
        <v>0.2</v>
      </c>
      <c r="V296" s="15">
        <v>1.03</v>
      </c>
      <c r="W296" s="15">
        <v>1.01</v>
      </c>
      <c r="X296" s="19">
        <f>IF(B296=0,0,100*(C296+2*H296+3*I296)/B296)</f>
        <v>174.46102819237149</v>
      </c>
      <c r="Y296" s="19">
        <f>IF(C296=0,0,(J296+K296)/C296)</f>
        <v>0.24906367041198502</v>
      </c>
      <c r="Z296" s="19"/>
      <c r="AA296" s="19">
        <f>MAX(0,MIN(10,5+50*(D296-0.55)+25*(E296-F296)))</f>
        <v>0</v>
      </c>
      <c r="AB296" s="19">
        <f>MAX(0,MIN(10,0.2*G296+5*Y296))</f>
        <v>1.2749183520599252</v>
      </c>
      <c r="AC296" s="19">
        <f t="shared" si="229"/>
        <v>10</v>
      </c>
      <c r="AD296" s="19">
        <f>MAX(0,MIN(10,2+0.15*G296+4*Y296-0.03*((L296+M296)/2)))</f>
        <v>1.0081846816479403</v>
      </c>
      <c r="AE296" s="19">
        <f>MAX(0,MIN(10,0.15*N296+0.08*O296))</f>
        <v>10</v>
      </c>
      <c r="AF296" s="19"/>
      <c r="AG296" s="19"/>
      <c r="AH296" s="19">
        <f>MAX(0,MIN(10,P296/3.2-2*U296))</f>
        <v>3.0687499999999996</v>
      </c>
      <c r="AI296" s="19">
        <f>10*(0.22*AA296+0.2*AB296+0.18*AC296+0.12*AD296+0.1*AE296+0.13*T296+0.05*AH296)</f>
        <v>41.094033322097374</v>
      </c>
      <c r="AJ296" s="19">
        <f>AI296*V296</f>
        <v>42.326854321760294</v>
      </c>
      <c r="AK296" s="20">
        <f>AJ296*(P296/200)</f>
        <v>2.3491404148576964</v>
      </c>
    </row>
    <row r="297" spans="1:50" x14ac:dyDescent="0.25">
      <c r="A297" t="s">
        <v>342</v>
      </c>
      <c r="B297" s="16">
        <v>0.55100000000000005</v>
      </c>
      <c r="C297" s="16">
        <v>0.51600000000000001</v>
      </c>
      <c r="D297" s="16">
        <v>6.0999999999999999E-2</v>
      </c>
      <c r="E297" s="16">
        <v>0.39300000000000002</v>
      </c>
      <c r="F297" s="16">
        <v>0.11600000000000001</v>
      </c>
      <c r="G297" s="16">
        <v>0.189</v>
      </c>
      <c r="H297" s="16">
        <v>8.5000000000000006E-2</v>
      </c>
      <c r="I297" s="23">
        <v>1.4999999999999999E-2</v>
      </c>
      <c r="J297" s="16">
        <v>4.8000000000000001E-2</v>
      </c>
      <c r="K297" s="16">
        <v>0.16200000000000001</v>
      </c>
      <c r="L297" s="16">
        <v>0.223</v>
      </c>
      <c r="M297" s="15">
        <v>108.2</v>
      </c>
      <c r="N297" s="15">
        <v>86.1</v>
      </c>
      <c r="O297" s="16">
        <v>0.20399999999999999</v>
      </c>
      <c r="P297" s="15">
        <v>5.0999999999999996</v>
      </c>
      <c r="Q297" s="15">
        <v>4.7</v>
      </c>
      <c r="R297" s="15">
        <v>9.9</v>
      </c>
      <c r="S297" s="15">
        <v>14</v>
      </c>
      <c r="T297" s="15">
        <v>7</v>
      </c>
      <c r="U297" s="15">
        <v>0.2</v>
      </c>
      <c r="V297" s="15">
        <v>0.99</v>
      </c>
      <c r="W297" s="15">
        <v>0.98</v>
      </c>
      <c r="X297" s="19">
        <f>IF(B297=0,0,100*(C297+2*H297+3*I297)/B297)</f>
        <v>132.66787658802178</v>
      </c>
      <c r="Y297" s="19">
        <f>IF(C297=0,0,(J297+K297)/C297)</f>
        <v>0.40697674418604651</v>
      </c>
      <c r="Z297" s="19"/>
      <c r="AA297" s="19">
        <f>MAX(0,MIN(10,5+50*(D297-0.55)+25*(E297-F297)))</f>
        <v>0</v>
      </c>
      <c r="AB297" s="19">
        <f>MAX(0,MIN(10,0.2*G297+5*Y297))</f>
        <v>2.0726837209302325</v>
      </c>
      <c r="AC297" s="19">
        <f t="shared" si="229"/>
        <v>10</v>
      </c>
      <c r="AD297" s="19">
        <f>MAX(0,MIN(10,2+0.15*G297+4*Y297-0.03*((L297+M297)/2)))</f>
        <v>2.0299119767441862</v>
      </c>
      <c r="AE297" s="19">
        <f>MAX(0,MIN(10,0.15*N297+0.08*O297))</f>
        <v>10</v>
      </c>
      <c r="AF297" s="19"/>
      <c r="AG297" s="19"/>
      <c r="AH297" s="19">
        <f>MAX(0,MIN(10,P297/3.2-2*U297))</f>
        <v>1.1937499999999996</v>
      </c>
      <c r="AI297" s="19">
        <f>10*(0.22*AA297+0.2*AB297+0.18*AC297+0.12*AD297+0.1*AE297+0.13*T297+0.05*AH297)</f>
        <v>44.278136813953488</v>
      </c>
      <c r="AJ297" s="19">
        <f>AI297*V297</f>
        <v>43.835355445813953</v>
      </c>
      <c r="AK297" s="20">
        <f>AJ297*(P297/200)</f>
        <v>1.1178015638682557</v>
      </c>
    </row>
    <row r="298" spans="1:50" x14ac:dyDescent="0.25">
      <c r="A298" t="s">
        <v>343</v>
      </c>
      <c r="B298" s="15">
        <v>1879</v>
      </c>
      <c r="C298" s="15">
        <v>316</v>
      </c>
      <c r="D298" s="16">
        <v>0.49070000000000003</v>
      </c>
      <c r="E298" s="16">
        <v>0.45879999999999999</v>
      </c>
      <c r="F298" s="15">
        <v>0.5</v>
      </c>
      <c r="G298" s="15">
        <v>17.09</v>
      </c>
      <c r="H298" s="15">
        <v>72</v>
      </c>
      <c r="I298" s="17">
        <v>174</v>
      </c>
      <c r="J298" s="15">
        <v>12</v>
      </c>
      <c r="K298" s="15">
        <v>9</v>
      </c>
      <c r="L298" s="16">
        <v>0.85709999999999997</v>
      </c>
      <c r="M298" s="16">
        <v>0.95079999999999998</v>
      </c>
      <c r="N298" s="16">
        <v>1.9E-2</v>
      </c>
      <c r="O298" s="16">
        <v>8.7999999999999995E-2</v>
      </c>
      <c r="P298" s="15">
        <v>22</v>
      </c>
      <c r="Q298" s="15"/>
      <c r="R298" s="15"/>
      <c r="S298" s="15"/>
      <c r="T298" s="15">
        <v>4</v>
      </c>
      <c r="U298" s="15">
        <v>0.2</v>
      </c>
      <c r="V298" s="15">
        <v>1</v>
      </c>
      <c r="W298" s="15"/>
      <c r="X298" s="19">
        <f>IF(B298=0,0,100*(C298+2*H298+3*I298)/B298)</f>
        <v>52.261841405002663</v>
      </c>
      <c r="Y298" s="19">
        <f>IF(C298=0,0,(J298+K298)/C298)</f>
        <v>6.6455696202531639E-2</v>
      </c>
      <c r="Z298" s="19"/>
      <c r="AA298" s="19">
        <f>MAX(0,MIN(10,5+50*(D298-0.55)+25*(E298-F298)))</f>
        <v>1.004999999999999</v>
      </c>
      <c r="AB298" s="19">
        <f>MAX(0,MIN(10,0.2*G298+5*Y298))</f>
        <v>3.7502784810126584</v>
      </c>
      <c r="AC298" s="19">
        <f t="shared" si="229"/>
        <v>10</v>
      </c>
      <c r="AD298" s="19">
        <f>MAX(0,MIN(10,2+0.15*G298+4*Y298-0.03*((L298+M298)/2)))</f>
        <v>4.8022042848101254</v>
      </c>
      <c r="AE298" s="19">
        <f>MAX(0,MIN(10,0.15*N298+0.08*O298))</f>
        <v>9.8899999999999995E-3</v>
      </c>
      <c r="AF298" s="19"/>
      <c r="AG298" s="19"/>
      <c r="AH298" s="19">
        <f>MAX(0,MIN(10,P298/3.2-2*U298))</f>
        <v>6.4749999999999996</v>
      </c>
      <c r="AI298" s="19">
        <f>10*(0.22*AA298+0.2*AB298+0.18*AC298+0.12*AD298+0.1*AE298+0.13*T298+0.05*AH298)</f>
        <v>41.921592103797465</v>
      </c>
      <c r="AJ298" s="19">
        <f>AI298*V298</f>
        <v>41.921592103797465</v>
      </c>
      <c r="AK298" s="20">
        <f>AJ298*(P298/200)</f>
        <v>4.6113751314177209</v>
      </c>
    </row>
    <row r="299" spans="1:50" x14ac:dyDescent="0.25">
      <c r="A299" t="s">
        <v>344</v>
      </c>
      <c r="B299" s="15">
        <v>1712</v>
      </c>
      <c r="C299" s="15">
        <v>288</v>
      </c>
      <c r="D299" s="16">
        <v>0.54959999999999998</v>
      </c>
      <c r="E299" s="16">
        <v>0.52610000000000001</v>
      </c>
      <c r="F299" s="15">
        <v>0.5</v>
      </c>
      <c r="G299" s="15">
        <v>16.190000000000001</v>
      </c>
      <c r="H299" s="15">
        <v>172</v>
      </c>
      <c r="I299" s="17">
        <v>36</v>
      </c>
      <c r="J299" s="15">
        <v>54</v>
      </c>
      <c r="K299" s="15">
        <v>0</v>
      </c>
      <c r="L299" s="16">
        <v>0.7611</v>
      </c>
      <c r="M299" s="16">
        <v>1</v>
      </c>
      <c r="N299" s="16">
        <v>8.1900000000000001E-2</v>
      </c>
      <c r="O299" s="16">
        <v>0.1348</v>
      </c>
      <c r="P299" s="15">
        <v>25</v>
      </c>
      <c r="Q299" s="15"/>
      <c r="R299" s="15"/>
      <c r="S299" s="15"/>
      <c r="T299" s="15">
        <v>6</v>
      </c>
      <c r="U299" s="15">
        <v>0.2</v>
      </c>
      <c r="V299" s="15">
        <v>1</v>
      </c>
      <c r="W299" s="15"/>
      <c r="X299" s="19">
        <f>IF(B299=0,0,100*(C299+2*H299+3*I299)/B299)</f>
        <v>43.22429906542056</v>
      </c>
      <c r="Y299" s="19">
        <f>IF(C299=0,0,(J299+K299)/C299)</f>
        <v>0.1875</v>
      </c>
      <c r="Z299" s="19"/>
      <c r="AA299" s="19">
        <f>MAX(0,MIN(10,5+50*(D299-0.55)+25*(E299-F299)))</f>
        <v>5.6324999999999967</v>
      </c>
      <c r="AB299" s="19">
        <f>MAX(0,MIN(10,0.2*G299+5*Y299))</f>
        <v>4.1755000000000004</v>
      </c>
      <c r="AC299" s="19">
        <f t="shared" si="229"/>
        <v>10</v>
      </c>
      <c r="AD299" s="19">
        <f>MAX(0,MIN(10,2+0.15*G299+4*Y299-0.03*((L299+M299)/2)))</f>
        <v>5.1520834999999998</v>
      </c>
      <c r="AE299" s="19">
        <f>MAX(0,MIN(10,0.15*N299+0.08*O299))</f>
        <v>2.3068999999999999E-2</v>
      </c>
      <c r="AF299" s="19"/>
      <c r="AG299" s="19"/>
      <c r="AH299" s="19">
        <f>MAX(0,MIN(10,P299/3.2-2*U299))</f>
        <v>7.4124999999999996</v>
      </c>
      <c r="AI299" s="19">
        <f>10*(0.22*AA299+0.2*AB299+0.18*AC299+0.12*AD299+0.1*AE299+0.13*T299+0.05*AH299)</f>
        <v>56.454319199999986</v>
      </c>
      <c r="AJ299" s="19">
        <f>AI299*V299</f>
        <v>56.454319199999986</v>
      </c>
      <c r="AK299" s="20">
        <f>AJ299*(P299/200)</f>
        <v>7.0567898999999983</v>
      </c>
    </row>
    <row r="300" spans="1:50" x14ac:dyDescent="0.25">
      <c r="A300" t="s">
        <v>345</v>
      </c>
      <c r="B300" s="15">
        <v>718</v>
      </c>
      <c r="C300" s="15">
        <v>167</v>
      </c>
      <c r="D300" s="16">
        <v>0.54579999999999995</v>
      </c>
      <c r="E300" s="16">
        <v>0.5</v>
      </c>
      <c r="F300" s="15">
        <v>0.47</v>
      </c>
      <c r="G300" s="15">
        <v>22.03</v>
      </c>
      <c r="H300" s="15">
        <v>82</v>
      </c>
      <c r="I300" s="17">
        <v>12</v>
      </c>
      <c r="J300" s="15">
        <v>40</v>
      </c>
      <c r="K300" s="15">
        <v>0</v>
      </c>
      <c r="L300" s="16">
        <v>0.67210000000000003</v>
      </c>
      <c r="M300" s="16">
        <v>1</v>
      </c>
      <c r="N300" s="16">
        <v>9.2100000000000001E-2</v>
      </c>
      <c r="O300" s="16">
        <v>0.16769999999999999</v>
      </c>
      <c r="P300" s="15">
        <v>9</v>
      </c>
      <c r="Q300" s="15"/>
      <c r="R300" s="15"/>
      <c r="S300" s="15"/>
      <c r="T300" s="15">
        <v>7</v>
      </c>
      <c r="U300" s="15">
        <v>0.2</v>
      </c>
      <c r="V300" s="15">
        <v>0.98</v>
      </c>
      <c r="W300" s="15"/>
      <c r="X300" s="19">
        <f>IF(B300=0,0,100*(C300+2*H300+3*I300)/B300)</f>
        <v>51.114206128133702</v>
      </c>
      <c r="Y300" s="19">
        <f>IF(C300=0,0,(J300+K300)/C300)</f>
        <v>0.23952095808383234</v>
      </c>
      <c r="Z300" s="19"/>
      <c r="AA300" s="19">
        <f>MAX(0,MIN(10,5+50*(D300-0.55)+25*(E300-F300)))</f>
        <v>5.5399999999999965</v>
      </c>
      <c r="AB300" s="19">
        <f>MAX(0,MIN(10,0.2*G300+5*Y300))</f>
        <v>5.6036047904191619</v>
      </c>
      <c r="AC300" s="19">
        <f t="shared" si="229"/>
        <v>10</v>
      </c>
      <c r="AD300" s="19">
        <f>MAX(0,MIN(10,2+0.15*G300+4*Y300-0.03*((L300+M300)/2)))</f>
        <v>6.2375023323353291</v>
      </c>
      <c r="AE300" s="19">
        <f>MAX(0,MIN(10,0.15*N300+0.08*O300))</f>
        <v>2.7230999999999998E-2</v>
      </c>
      <c r="AF300" s="19"/>
      <c r="AG300" s="19"/>
      <c r="AH300" s="19">
        <f>MAX(0,MIN(10,P300/3.2-2*U300))</f>
        <v>2.4125000000000001</v>
      </c>
      <c r="AI300" s="19">
        <f>10*(0.22*AA300+0.2*AB300+0.18*AC300+0.12*AD300+0.1*AE300+0.13*T300+0.05*AH300)</f>
        <v>59.213693379640723</v>
      </c>
      <c r="AJ300" s="19">
        <f>AI300*V300</f>
        <v>58.029419512047909</v>
      </c>
      <c r="AK300" s="20">
        <f>AJ300*(P300/200)</f>
        <v>2.6113238780421559</v>
      </c>
    </row>
    <row r="301" spans="1:50" x14ac:dyDescent="0.25">
      <c r="A301" t="s">
        <v>346</v>
      </c>
      <c r="B301" s="15">
        <v>1253</v>
      </c>
      <c r="C301" s="15">
        <v>196</v>
      </c>
      <c r="D301" s="16">
        <v>0.51039999999999996</v>
      </c>
      <c r="E301" s="16">
        <v>0.47220000000000001</v>
      </c>
      <c r="F301" s="15">
        <v>0.5</v>
      </c>
      <c r="G301" s="15">
        <v>14.81</v>
      </c>
      <c r="H301" s="15">
        <v>42</v>
      </c>
      <c r="I301" s="17">
        <v>111</v>
      </c>
      <c r="J301" s="15">
        <v>14</v>
      </c>
      <c r="K301" s="15">
        <v>3</v>
      </c>
      <c r="L301" s="16">
        <v>0.75</v>
      </c>
      <c r="M301" s="16">
        <v>0.97370000000000001</v>
      </c>
      <c r="N301" s="16">
        <v>1.78E-2</v>
      </c>
      <c r="O301" s="16">
        <v>4.6600000000000003E-2</v>
      </c>
      <c r="P301" s="15">
        <v>18.5</v>
      </c>
      <c r="Q301" s="15"/>
      <c r="R301" s="15"/>
      <c r="S301" s="15"/>
      <c r="T301" s="15">
        <v>4</v>
      </c>
      <c r="U301" s="15">
        <v>0.2</v>
      </c>
      <c r="V301" s="15">
        <v>1</v>
      </c>
      <c r="W301" s="15"/>
      <c r="X301" s="19">
        <f>IF(B301=0,0,100*(C301+2*H301+3*I301)/B301)</f>
        <v>48.922585794094175</v>
      </c>
      <c r="Y301" s="19">
        <f>IF(C301=0,0,(J301+K301)/C301)</f>
        <v>8.673469387755102E-2</v>
      </c>
      <c r="Z301" s="19"/>
      <c r="AA301" s="19">
        <f>MAX(0,MIN(10,5+50*(D301-0.55)+25*(E301-F301)))</f>
        <v>2.3249999999999962</v>
      </c>
      <c r="AB301" s="19">
        <f>MAX(0,MIN(10,0.2*G301+5*Y301))</f>
        <v>3.3956734693877553</v>
      </c>
      <c r="AC301" s="19">
        <f t="shared" si="229"/>
        <v>10</v>
      </c>
      <c r="AD301" s="19">
        <f>MAX(0,MIN(10,2+0.15*G301+4*Y301-0.03*((L301+M301)/2)))</f>
        <v>4.5425832755102045</v>
      </c>
      <c r="AE301" s="19">
        <f>MAX(0,MIN(10,0.15*N301+0.08*O301))</f>
        <v>6.3980000000000009E-3</v>
      </c>
      <c r="AF301" s="19"/>
      <c r="AG301" s="19"/>
      <c r="AH301" s="19">
        <f>MAX(0,MIN(10,P301/3.2-2*U301))</f>
        <v>5.3812499999999996</v>
      </c>
      <c r="AI301" s="19">
        <f>10*(0.22*AA301+0.2*AB301+0.18*AC301+0.12*AD301+0.1*AE301+0.13*T301+0.05*AH301)</f>
        <v>43.254469869387755</v>
      </c>
      <c r="AJ301" s="19">
        <f>AI301*V301</f>
        <v>43.254469869387755</v>
      </c>
      <c r="AK301" s="20">
        <f>AJ301*(P301/200)</f>
        <v>4.0010384629183671</v>
      </c>
    </row>
    <row r="302" spans="1:50" x14ac:dyDescent="0.25">
      <c r="A302" t="s">
        <v>347</v>
      </c>
      <c r="B302" s="16">
        <v>0.59399999999999997</v>
      </c>
      <c r="C302" s="16">
        <v>0.56799999999999995</v>
      </c>
      <c r="D302" s="15">
        <v>0.24</v>
      </c>
      <c r="E302" s="15">
        <v>0.27600000000000002</v>
      </c>
      <c r="F302" s="16">
        <v>8.1000000000000003E-2</v>
      </c>
      <c r="G302" s="16">
        <v>0.18</v>
      </c>
      <c r="H302" s="16">
        <v>8.7999999999999995E-2</v>
      </c>
      <c r="I302" s="23">
        <v>2.5000000000000001E-2</v>
      </c>
      <c r="J302" s="16">
        <v>4.1000000000000002E-2</v>
      </c>
      <c r="K302" s="16">
        <v>0.16800000000000001</v>
      </c>
      <c r="L302" s="16">
        <v>0.223</v>
      </c>
      <c r="M302" s="15">
        <v>109.1</v>
      </c>
      <c r="N302" s="15">
        <v>74.3</v>
      </c>
      <c r="O302" s="15">
        <v>0.254</v>
      </c>
      <c r="P302" s="15">
        <v>7.3</v>
      </c>
      <c r="Q302" s="15">
        <v>6.2</v>
      </c>
      <c r="R302" s="15">
        <v>13.6</v>
      </c>
      <c r="S302" s="15">
        <v>7</v>
      </c>
      <c r="T302" s="15">
        <v>5.5</v>
      </c>
      <c r="U302" s="15">
        <v>0.2</v>
      </c>
      <c r="V302" s="15">
        <v>0.95</v>
      </c>
      <c r="W302" s="15">
        <v>0.92</v>
      </c>
      <c r="X302" s="19">
        <f>IF(B302=0,0,100*(C302+2*H302+3*I302)/B302)</f>
        <v>137.87878787878788</v>
      </c>
      <c r="Y302" s="19">
        <f>IF(C302=0,0,(J302+K302)/C302)</f>
        <v>0.3679577464788733</v>
      </c>
      <c r="Z302" s="19"/>
      <c r="AA302" s="19">
        <f>MAX(0,MIN(10,5+50*(D302-0.55)+25*(E302-F302)))</f>
        <v>0</v>
      </c>
      <c r="AB302" s="19">
        <f>MAX(0,MIN(10,0.2*G302+5*Y302))</f>
        <v>1.8757887323943665</v>
      </c>
      <c r="AC302" s="19">
        <f t="shared" si="229"/>
        <v>10</v>
      </c>
      <c r="AD302" s="19">
        <f>MAX(0,MIN(10,2+0.15*G302+4*Y302-0.03*((L302+M302)/2)))</f>
        <v>1.8589859859154934</v>
      </c>
      <c r="AE302" s="19">
        <f>MAX(0,MIN(10,0.15*N302+0.08*O302))</f>
        <v>10</v>
      </c>
      <c r="AF302" s="19"/>
      <c r="AG302" s="19"/>
      <c r="AH302" s="19">
        <f>MAX(0,MIN(10,P302/3.2-2*U302))</f>
        <v>1.8812500000000001</v>
      </c>
      <c r="AI302" s="19">
        <f>10*(0.22*AA302+0.2*AB302+0.18*AC302+0.12*AD302+0.1*AE302+0.13*T302+0.05*AH302)</f>
        <v>42.072985647887322</v>
      </c>
      <c r="AJ302" s="19">
        <f>AI302*V302</f>
        <v>39.969336365492957</v>
      </c>
      <c r="AK302" s="20">
        <f>AJ302*(P302/200)</f>
        <v>1.4588807773404928</v>
      </c>
    </row>
    <row r="303" spans="1:50" x14ac:dyDescent="0.25">
      <c r="A303" t="s">
        <v>348</v>
      </c>
      <c r="B303" s="15">
        <v>2326</v>
      </c>
      <c r="C303" s="15">
        <v>550</v>
      </c>
      <c r="D303" s="16">
        <v>0.4955</v>
      </c>
      <c r="E303" s="16">
        <v>0.41470000000000001</v>
      </c>
      <c r="F303" s="15">
        <v>0.49</v>
      </c>
      <c r="G303" s="15">
        <v>24.7</v>
      </c>
      <c r="H303" s="15">
        <v>120</v>
      </c>
      <c r="I303" s="17">
        <v>93</v>
      </c>
      <c r="J303" s="15">
        <v>166</v>
      </c>
      <c r="K303" s="15">
        <v>0</v>
      </c>
      <c r="L303" s="16">
        <v>0.41959999999999997</v>
      </c>
      <c r="M303" s="18">
        <v>1</v>
      </c>
      <c r="N303" s="16">
        <v>1.7999999999999999E-2</v>
      </c>
      <c r="O303" s="16">
        <v>9.2499999999999999E-2</v>
      </c>
      <c r="P303" s="15">
        <v>32</v>
      </c>
      <c r="Q303" s="15"/>
      <c r="R303" s="15"/>
      <c r="S303" s="15"/>
      <c r="T303" s="15">
        <v>5</v>
      </c>
      <c r="U303" s="15">
        <v>0.2</v>
      </c>
      <c r="V303" s="15">
        <v>1</v>
      </c>
      <c r="W303" s="15"/>
      <c r="X303" s="19">
        <f>IF(B303=0,0,100*(C303+2*H303+3*I303)/B303)</f>
        <v>45.958727429062769</v>
      </c>
      <c r="Y303" s="19">
        <f>IF(C303=0,0,(J303+K303)/C303)</f>
        <v>0.30181818181818182</v>
      </c>
      <c r="Z303" s="19"/>
      <c r="AA303" s="19">
        <f>MAX(0,MIN(10,5+50*(D303-0.55)+25*(E303-F303)))</f>
        <v>0.39249999999999829</v>
      </c>
      <c r="AB303" s="19">
        <f>MAX(0,MIN(10,0.2*G303+5*Y303))</f>
        <v>6.4490909090909092</v>
      </c>
      <c r="AC303" s="19">
        <f t="shared" si="229"/>
        <v>10</v>
      </c>
      <c r="AD303" s="19">
        <f>MAX(0,MIN(10,2+0.15*G303+4*Y303-0.03*((L303+M303)/2)))</f>
        <v>6.890978727272727</v>
      </c>
      <c r="AE303" s="19">
        <f>MAX(0,MIN(10,0.15*N303+0.08*O303))</f>
        <v>1.01E-2</v>
      </c>
      <c r="AF303" s="19"/>
      <c r="AG303" s="19"/>
      <c r="AH303" s="19">
        <f>MAX(0,MIN(10,P303/3.2-2*U303))</f>
        <v>9.6</v>
      </c>
      <c r="AI303" s="19">
        <f>10*(0.22*AA303+0.2*AB303+0.18*AC303+0.12*AD303+0.1*AE303+0.13*T303+0.05*AH303)</f>
        <v>51.340956290909091</v>
      </c>
      <c r="AJ303" s="19">
        <f>AI303*V303</f>
        <v>51.340956290909091</v>
      </c>
      <c r="AK303" s="20">
        <f>AJ303*(P303/200)</f>
        <v>8.2145530065454544</v>
      </c>
    </row>
    <row r="304" spans="1:50" s="32" customFormat="1" x14ac:dyDescent="0.25">
      <c r="A304" s="31" t="s">
        <v>81</v>
      </c>
      <c r="I304" s="33"/>
      <c r="AK304" s="24">
        <f>SUM(AK284:AK303)</f>
        <v>68.950635456846115</v>
      </c>
      <c r="AL304" s="3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s="6" customFormat="1" x14ac:dyDescent="0.25">
      <c r="A305" s="5"/>
      <c r="B305" s="4" t="s">
        <v>3</v>
      </c>
      <c r="C305" s="4" t="s">
        <v>4</v>
      </c>
      <c r="D305" s="4" t="s">
        <v>5</v>
      </c>
      <c r="E305" s="4" t="s">
        <v>6</v>
      </c>
      <c r="F305" s="4" t="s">
        <v>7</v>
      </c>
      <c r="G305" s="4" t="s">
        <v>8</v>
      </c>
      <c r="H305" s="4" t="s">
        <v>9</v>
      </c>
      <c r="I305" s="9" t="s">
        <v>10</v>
      </c>
      <c r="J305" s="4" t="s">
        <v>11</v>
      </c>
      <c r="K305" s="4" t="s">
        <v>12</v>
      </c>
      <c r="L305" s="4" t="s">
        <v>13</v>
      </c>
      <c r="M305" s="4" t="s">
        <v>14</v>
      </c>
      <c r="N305" s="4" t="s">
        <v>15</v>
      </c>
      <c r="O305" s="4" t="s">
        <v>16</v>
      </c>
      <c r="P305" s="4" t="s">
        <v>17</v>
      </c>
      <c r="Q305" s="4" t="s">
        <v>18</v>
      </c>
      <c r="R305" s="4" t="s">
        <v>19</v>
      </c>
      <c r="S305" s="4" t="s">
        <v>20</v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3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25" t="s">
        <v>349</v>
      </c>
      <c r="B306" s="11" t="s">
        <v>22</v>
      </c>
      <c r="C306" s="11" t="s">
        <v>23</v>
      </c>
      <c r="D306" s="11" t="s">
        <v>3</v>
      </c>
      <c r="E306" s="11" t="s">
        <v>4</v>
      </c>
      <c r="F306" s="11" t="s">
        <v>24</v>
      </c>
      <c r="G306" s="11" t="s">
        <v>25</v>
      </c>
      <c r="H306" s="11" t="s">
        <v>26</v>
      </c>
      <c r="I306" s="12" t="s">
        <v>27</v>
      </c>
      <c r="J306" s="11" t="s">
        <v>28</v>
      </c>
      <c r="K306" s="11" t="s">
        <v>29</v>
      </c>
      <c r="L306" s="11" t="s">
        <v>30</v>
      </c>
      <c r="M306" s="11" t="s">
        <v>31</v>
      </c>
      <c r="N306" s="11" t="s">
        <v>32</v>
      </c>
      <c r="O306" s="11" t="s">
        <v>33</v>
      </c>
      <c r="P306" s="11" t="s">
        <v>20</v>
      </c>
      <c r="Q306" s="11"/>
      <c r="R306" s="11"/>
      <c r="S306" s="11"/>
      <c r="T306" s="11" t="s">
        <v>34</v>
      </c>
      <c r="U306" s="11" t="s">
        <v>35</v>
      </c>
      <c r="V306" s="11" t="s">
        <v>36</v>
      </c>
      <c r="W306" s="11" t="s">
        <v>37</v>
      </c>
      <c r="X306" s="11" t="s">
        <v>38</v>
      </c>
      <c r="Y306" s="11" t="s">
        <v>39</v>
      </c>
      <c r="Z306" s="11" t="s">
        <v>40</v>
      </c>
      <c r="AA306" s="11" t="s">
        <v>41</v>
      </c>
      <c r="AB306" s="11" t="s">
        <v>42</v>
      </c>
      <c r="AC306" s="11" t="s">
        <v>43</v>
      </c>
      <c r="AD306" s="11" t="s">
        <v>44</v>
      </c>
      <c r="AE306" s="11" t="s">
        <v>45</v>
      </c>
      <c r="AF306" s="11" t="s">
        <v>46</v>
      </c>
      <c r="AG306" s="11" t="s">
        <v>47</v>
      </c>
      <c r="AH306" s="11" t="s">
        <v>48</v>
      </c>
      <c r="AI306" s="11" t="s">
        <v>49</v>
      </c>
      <c r="AJ306" s="11" t="s">
        <v>50</v>
      </c>
      <c r="AK306" s="13" t="s">
        <v>51</v>
      </c>
    </row>
    <row r="307" spans="1:50" x14ac:dyDescent="0.25">
      <c r="A307" t="s">
        <v>350</v>
      </c>
      <c r="B307" s="15">
        <v>2360</v>
      </c>
      <c r="C307" s="15">
        <v>285</v>
      </c>
      <c r="D307" s="16">
        <v>0.53569999999999995</v>
      </c>
      <c r="E307" s="16">
        <v>0.52559999999999996</v>
      </c>
      <c r="F307" s="15">
        <v>0.51</v>
      </c>
      <c r="G307" s="15">
        <v>11.27</v>
      </c>
      <c r="H307" s="15">
        <v>58</v>
      </c>
      <c r="I307" s="17">
        <v>186</v>
      </c>
      <c r="J307" s="15">
        <v>20</v>
      </c>
      <c r="K307" s="15">
        <v>3</v>
      </c>
      <c r="L307" s="16">
        <v>0.74360000000000004</v>
      </c>
      <c r="M307" s="16">
        <v>0.98409999999999997</v>
      </c>
      <c r="N307" s="16">
        <v>3.4799999999999998E-2</v>
      </c>
      <c r="O307" s="16">
        <v>9.7299999999999998E-2</v>
      </c>
      <c r="P307" s="15">
        <v>28</v>
      </c>
      <c r="Q307" s="15"/>
      <c r="R307" s="15"/>
      <c r="S307" s="15"/>
      <c r="T307" s="15">
        <v>5</v>
      </c>
      <c r="U307" s="15">
        <v>0.2</v>
      </c>
      <c r="V307" s="15">
        <v>1</v>
      </c>
      <c r="W307" s="15"/>
      <c r="X307" s="19">
        <f>IF(B307=0,0,100*(C307+2*H307+3*I307)/B307)</f>
        <v>40.635593220338983</v>
      </c>
      <c r="Y307" s="19">
        <f>IF(C307=0,0,(J307+K307)/C307)</f>
        <v>8.0701754385964913E-2</v>
      </c>
      <c r="Z307" s="19"/>
      <c r="AA307" s="19">
        <f>MAX(0,MIN(10,5+50*(D307-0.55)+25*(E307-F307)))</f>
        <v>4.6749999999999945</v>
      </c>
      <c r="AB307" s="19">
        <f>MAX(0,MIN(10,0.2*G307+5*Y307))</f>
        <v>2.6575087719298245</v>
      </c>
      <c r="AC307" s="19">
        <f t="shared" ref="AC307:AC324" si="230">MAX(0,MIN(10,X307/4))</f>
        <v>10</v>
      </c>
      <c r="AD307" s="19">
        <f>MAX(0,MIN(10,2+0.15*G307+4*Y307-0.03*((L307+M307)/2)))</f>
        <v>3.9873915175438599</v>
      </c>
      <c r="AE307" s="19">
        <f>MAX(0,MIN(10,0.15*N307+0.08*O307))</f>
        <v>1.3004E-2</v>
      </c>
      <c r="AF307" s="19"/>
      <c r="AG307" s="19"/>
      <c r="AH307" s="19">
        <f>MAX(0,MIN(10,P307/3.2-2*U307))</f>
        <v>8.35</v>
      </c>
      <c r="AI307" s="19">
        <f>10*(0.22*AA307+0.2*AB307+0.18*AC307+0.12*AD307+0.1*AE307+0.13*T307+0.05*AH307)</f>
        <v>49.072891364912259</v>
      </c>
      <c r="AJ307" s="19">
        <f>AI307*V307</f>
        <v>49.072891364912259</v>
      </c>
      <c r="AK307" s="20">
        <f>AJ307*(P307/200)</f>
        <v>6.8702047910877173</v>
      </c>
    </row>
    <row r="308" spans="1:50" x14ac:dyDescent="0.25">
      <c r="A308" t="s">
        <v>351</v>
      </c>
      <c r="B308" s="15">
        <v>1427</v>
      </c>
      <c r="C308" s="15">
        <v>221</v>
      </c>
      <c r="D308" s="16">
        <v>0.54430000000000001</v>
      </c>
      <c r="E308" s="16">
        <v>0.52559999999999996</v>
      </c>
      <c r="F308" s="15">
        <v>0.53</v>
      </c>
      <c r="G308" s="15">
        <v>14.7</v>
      </c>
      <c r="H308" s="15">
        <v>52</v>
      </c>
      <c r="I308" s="17">
        <v>114</v>
      </c>
      <c r="J308" s="15">
        <v>36</v>
      </c>
      <c r="K308" s="15">
        <v>3</v>
      </c>
      <c r="L308" s="16">
        <v>0.59089999999999998</v>
      </c>
      <c r="M308" s="16">
        <v>0.97440000000000004</v>
      </c>
      <c r="N308" s="16">
        <v>4.7699999999999999E-2</v>
      </c>
      <c r="O308" s="16">
        <v>0.1242</v>
      </c>
      <c r="P308" s="15">
        <v>18</v>
      </c>
      <c r="Q308" s="15"/>
      <c r="R308" s="15"/>
      <c r="S308" s="15"/>
      <c r="T308" s="15">
        <v>5.5</v>
      </c>
      <c r="U308" s="15">
        <v>0.2</v>
      </c>
      <c r="V308" s="15">
        <v>1</v>
      </c>
      <c r="W308" s="15"/>
      <c r="X308" s="19">
        <f>IF(B308=0,0,100*(C308+2*H308+3*I308)/B308)</f>
        <v>46.741415557112823</v>
      </c>
      <c r="Y308" s="19">
        <f>IF(C308=0,0,(J308+K308)/C308)</f>
        <v>0.17647058823529413</v>
      </c>
      <c r="Z308" s="19"/>
      <c r="AA308" s="19">
        <f>MAX(0,MIN(10,5+50*(D308-0.55)+25*(E308-F308)))</f>
        <v>4.604999999999996</v>
      </c>
      <c r="AB308" s="19">
        <f>MAX(0,MIN(10,0.2*G308+5*Y308))</f>
        <v>3.8223529411764705</v>
      </c>
      <c r="AC308" s="19">
        <f t="shared" si="230"/>
        <v>10</v>
      </c>
      <c r="AD308" s="19">
        <f>MAX(0,MIN(10,2+0.15*G308+4*Y308-0.03*((L308+M308)/2)))</f>
        <v>4.887402852941177</v>
      </c>
      <c r="AE308" s="19">
        <f>MAX(0,MIN(10,0.15*N308+0.08*O308))</f>
        <v>1.7091000000000002E-2</v>
      </c>
      <c r="AF308" s="19"/>
      <c r="AG308" s="19"/>
      <c r="AH308" s="19">
        <f>MAX(0,MIN(10,P308/3.2-2*U308))</f>
        <v>5.2249999999999996</v>
      </c>
      <c r="AI308" s="19">
        <f>10*(0.22*AA308+0.2*AB308+0.18*AC308+0.12*AD308+0.1*AE308+0.13*T308+0.05*AH308)</f>
        <v>51.42018030588234</v>
      </c>
      <c r="AJ308" s="19">
        <f>AI308*V308</f>
        <v>51.42018030588234</v>
      </c>
      <c r="AK308" s="20">
        <f>AJ308*(P308/200)</f>
        <v>4.6278162275294106</v>
      </c>
    </row>
    <row r="309" spans="1:50" x14ac:dyDescent="0.25">
      <c r="A309" t="s">
        <v>352</v>
      </c>
      <c r="B309" s="15">
        <v>314</v>
      </c>
      <c r="C309" s="15">
        <v>67</v>
      </c>
      <c r="D309" s="16">
        <v>0.56779999999999997</v>
      </c>
      <c r="E309" s="16">
        <v>0.53639999999999999</v>
      </c>
      <c r="F309" s="15">
        <v>0.48</v>
      </c>
      <c r="G309" s="15">
        <v>18.18</v>
      </c>
      <c r="H309" s="15">
        <v>6</v>
      </c>
      <c r="I309" s="17">
        <v>51</v>
      </c>
      <c r="J309" s="15">
        <v>2</v>
      </c>
      <c r="K309" s="15">
        <v>0</v>
      </c>
      <c r="L309" s="18">
        <v>0.75</v>
      </c>
      <c r="M309" s="18">
        <v>1</v>
      </c>
      <c r="N309" s="16">
        <v>2.1299999999999999E-2</v>
      </c>
      <c r="O309" s="16">
        <v>0.14180000000000001</v>
      </c>
      <c r="P309" s="15">
        <v>11</v>
      </c>
      <c r="Q309" s="15"/>
      <c r="R309" s="15"/>
      <c r="S309" s="15"/>
      <c r="T309" s="15">
        <v>5.5</v>
      </c>
      <c r="U309" s="15">
        <v>0.2</v>
      </c>
      <c r="V309" s="15">
        <v>0.98</v>
      </c>
      <c r="W309" s="15"/>
      <c r="X309" s="19">
        <f>IF(B309=0,0,100*(C309+2*H309+3*I309)/B309)</f>
        <v>73.885350318471339</v>
      </c>
      <c r="Y309" s="19">
        <f>IF(C309=0,0,(J309+K309)/C309)</f>
        <v>2.9850746268656716E-2</v>
      </c>
      <c r="Z309" s="19"/>
      <c r="AA309" s="19">
        <f>MAX(0,MIN(10,5+50*(D309-0.55)+25*(E309-F309)))</f>
        <v>7.2999999999999963</v>
      </c>
      <c r="AB309" s="19">
        <f>MAX(0,MIN(10,0.2*G309+5*Y309))</f>
        <v>3.7852537313432837</v>
      </c>
      <c r="AC309" s="19">
        <f t="shared" si="230"/>
        <v>10</v>
      </c>
      <c r="AD309" s="19">
        <f>MAX(0,MIN(10,2+0.15*G309+4*Y309-0.03*((L309+M309)/2)))</f>
        <v>4.8201529850746274</v>
      </c>
      <c r="AE309" s="19">
        <f>MAX(0,MIN(10,0.15*N309+0.08*O309))</f>
        <v>1.4539000000000002E-2</v>
      </c>
      <c r="AF309" s="19"/>
      <c r="AG309" s="19"/>
      <c r="AH309" s="19">
        <f>MAX(0,MIN(10,P309/3.2-2*U309))</f>
        <v>3.0375000000000001</v>
      </c>
      <c r="AI309" s="19">
        <f>10*(0.22*AA309+0.2*AB309+0.18*AC309+0.12*AD309+0.1*AE309+0.13*T309+0.05*AH309)</f>
        <v>56.097980044776108</v>
      </c>
      <c r="AJ309" s="19">
        <f>AI309*V309</f>
        <v>54.976020443880586</v>
      </c>
      <c r="AK309" s="20">
        <f>AJ309*(P309/200)</f>
        <v>3.0236811244134323</v>
      </c>
    </row>
    <row r="310" spans="1:50" x14ac:dyDescent="0.25">
      <c r="A310" t="s">
        <v>353</v>
      </c>
      <c r="B310" s="15">
        <v>1012</v>
      </c>
      <c r="C310" s="15">
        <v>146</v>
      </c>
      <c r="D310" s="16">
        <v>0.4834</v>
      </c>
      <c r="E310" s="16">
        <v>0.45519999999999999</v>
      </c>
      <c r="F310" s="15">
        <v>0.51</v>
      </c>
      <c r="G310" s="15">
        <v>16.489999999999998</v>
      </c>
      <c r="H310" s="15">
        <v>42</v>
      </c>
      <c r="I310" s="17">
        <v>48</v>
      </c>
      <c r="J310" s="15">
        <v>32</v>
      </c>
      <c r="K310" s="15">
        <v>0</v>
      </c>
      <c r="L310" s="16">
        <v>0.56759999999999999</v>
      </c>
      <c r="M310" s="18">
        <v>1</v>
      </c>
      <c r="N310" s="16">
        <v>6.5600000000000006E-2</v>
      </c>
      <c r="O310" s="16">
        <v>0.18970000000000001</v>
      </c>
      <c r="P310" s="15">
        <v>12</v>
      </c>
      <c r="Q310" s="15"/>
      <c r="R310" s="15"/>
      <c r="S310" s="15"/>
      <c r="T310" s="15">
        <v>6.5</v>
      </c>
      <c r="U310" s="15">
        <v>0.2</v>
      </c>
      <c r="V310" s="15">
        <v>0.98</v>
      </c>
      <c r="W310" s="15"/>
      <c r="X310" s="19">
        <f>IF(B310=0,0,100*(C310+2*H310+3*I310)/B310)</f>
        <v>36.956521739130437</v>
      </c>
      <c r="Y310" s="19">
        <f>IF(C310=0,0,(J310+K310)/C310)</f>
        <v>0.21917808219178081</v>
      </c>
      <c r="Z310" s="19"/>
      <c r="AA310" s="19">
        <f>MAX(0,MIN(10,5+50*(D310-0.55)+25*(E310-F310)))</f>
        <v>0.29999999999999738</v>
      </c>
      <c r="AB310" s="19">
        <f>MAX(0,MIN(10,0.2*G310+5*Y310))</f>
        <v>4.3938904109589041</v>
      </c>
      <c r="AC310" s="19">
        <f t="shared" si="230"/>
        <v>9.2391304347826093</v>
      </c>
      <c r="AD310" s="19">
        <f>MAX(0,MIN(10,2+0.15*G310+4*Y310-0.03*((L310+M310)/2)))</f>
        <v>5.3266983287671232</v>
      </c>
      <c r="AE310" s="19">
        <f>MAX(0,MIN(10,0.15*N310+0.08*O310))</f>
        <v>2.5016E-2</v>
      </c>
      <c r="AF310" s="19"/>
      <c r="AG310" s="19"/>
      <c r="AH310" s="19">
        <f>MAX(0,MIN(10,P310/3.2-2*U310))</f>
        <v>3.35</v>
      </c>
      <c r="AI310" s="19">
        <f>10*(0.22*AA310+0.2*AB310+0.18*AC310+0.12*AD310+0.1*AE310+0.13*T310+0.05*AH310)</f>
        <v>42.620269599047056</v>
      </c>
      <c r="AJ310" s="19">
        <f>AI310*V310</f>
        <v>41.767864207066111</v>
      </c>
      <c r="AK310" s="20">
        <f>AJ310*(P310/200)</f>
        <v>2.5060718524239665</v>
      </c>
    </row>
    <row r="311" spans="1:50" x14ac:dyDescent="0.25">
      <c r="A311" t="s">
        <v>354</v>
      </c>
      <c r="B311" s="15">
        <v>114</v>
      </c>
      <c r="C311" s="15">
        <v>2</v>
      </c>
      <c r="D311" s="16">
        <v>7.1400000000000005E-2</v>
      </c>
      <c r="E311" s="16">
        <v>7.1400000000000005E-2</v>
      </c>
      <c r="F311" s="15">
        <v>0.55000000000000004</v>
      </c>
      <c r="G311" s="15">
        <v>12.77</v>
      </c>
      <c r="H311" s="15">
        <v>0</v>
      </c>
      <c r="I311" s="17">
        <v>0</v>
      </c>
      <c r="J311" s="15">
        <v>2</v>
      </c>
      <c r="K311" s="15">
        <v>0</v>
      </c>
      <c r="L311" s="18">
        <v>0</v>
      </c>
      <c r="M311" s="18">
        <v>0</v>
      </c>
      <c r="N311" s="16">
        <v>8.2199999999999995E-2</v>
      </c>
      <c r="O311" s="16">
        <v>3.4500000000000003E-2</v>
      </c>
      <c r="P311" s="15">
        <v>4</v>
      </c>
      <c r="Q311" s="15"/>
      <c r="R311" s="15"/>
      <c r="S311" s="15"/>
      <c r="T311" s="15">
        <v>2</v>
      </c>
      <c r="U311" s="15">
        <v>0.2</v>
      </c>
      <c r="V311" s="15">
        <v>0.96</v>
      </c>
      <c r="W311" s="15"/>
      <c r="X311" s="19">
        <f>IF(B311=0,0,100*(C311+2*H311+3*I311)/B311)</f>
        <v>1.7543859649122806</v>
      </c>
      <c r="Y311" s="19">
        <f>IF(C311=0,0,(J311+K311)/C311)</f>
        <v>1</v>
      </c>
      <c r="Z311" s="19"/>
      <c r="AA311" s="19">
        <f>MAX(0,MIN(10,5+50*(D311-0.55)+25*(E311-F311)))</f>
        <v>0</v>
      </c>
      <c r="AB311" s="19">
        <f>MAX(0,MIN(10,0.2*G311+5*Y311))</f>
        <v>7.5540000000000003</v>
      </c>
      <c r="AC311" s="19">
        <f t="shared" si="230"/>
        <v>0.43859649122807015</v>
      </c>
      <c r="AD311" s="19">
        <f>MAX(0,MIN(10,2+0.15*G311+4*Y311-0.03*((L311+M311)/2)))</f>
        <v>7.9154999999999998</v>
      </c>
      <c r="AE311" s="19">
        <f>MAX(0,MIN(10,0.15*N311+0.08*O311))</f>
        <v>1.5089999999999999E-2</v>
      </c>
      <c r="AF311" s="19"/>
      <c r="AG311" s="19"/>
      <c r="AH311" s="19">
        <f>MAX(0,MIN(10,P311/3.2-2*U311))</f>
        <v>0.85</v>
      </c>
      <c r="AI311" s="19">
        <f>10*(0.22*AA311+0.2*AB311+0.18*AC311+0.12*AD311+0.1*AE311+0.13*T311+0.05*AH311)</f>
        <v>28.436163684210531</v>
      </c>
      <c r="AJ311" s="19">
        <f>AI311*V311</f>
        <v>27.298717136842107</v>
      </c>
      <c r="AK311" s="20">
        <f>AJ311*(P311/200)</f>
        <v>0.5459743427368422</v>
      </c>
    </row>
    <row r="312" spans="1:50" x14ac:dyDescent="0.25">
      <c r="A312" t="s">
        <v>355</v>
      </c>
      <c r="B312" s="15">
        <v>1214</v>
      </c>
      <c r="C312" s="15">
        <v>268</v>
      </c>
      <c r="D312" s="16">
        <v>0.50760000000000005</v>
      </c>
      <c r="E312" s="16">
        <v>0.41670000000000001</v>
      </c>
      <c r="F312" s="15">
        <v>0.47</v>
      </c>
      <c r="G312" s="15">
        <v>23.27</v>
      </c>
      <c r="H312" s="15">
        <v>64</v>
      </c>
      <c r="I312" s="17">
        <v>36</v>
      </c>
      <c r="J312" s="15">
        <v>82</v>
      </c>
      <c r="K312" s="15">
        <v>3</v>
      </c>
      <c r="L312" s="16">
        <v>0.43840000000000001</v>
      </c>
      <c r="M312" s="16">
        <v>0.92310000000000003</v>
      </c>
      <c r="N312" s="16">
        <v>1.5900000000000001E-2</v>
      </c>
      <c r="O312" s="16">
        <v>5.67E-2</v>
      </c>
      <c r="P312" s="15">
        <v>19</v>
      </c>
      <c r="Q312" s="15"/>
      <c r="R312" s="15"/>
      <c r="S312" s="15"/>
      <c r="T312" s="15">
        <v>3</v>
      </c>
      <c r="U312" s="15">
        <v>0.2</v>
      </c>
      <c r="V312" s="15">
        <v>1</v>
      </c>
      <c r="W312" s="15"/>
      <c r="X312" s="19">
        <f>IF(B312=0,0,100*(C312+2*H312+3*I312)/B312)</f>
        <v>41.515650741350903</v>
      </c>
      <c r="Y312" s="19">
        <f>IF(C312=0,0,(J312+K312)/C312)</f>
        <v>0.31716417910447764</v>
      </c>
      <c r="Z312" s="19"/>
      <c r="AA312" s="19">
        <f>MAX(0,MIN(10,5+50*(D312-0.55)+25*(E312-F312)))</f>
        <v>1.5475000000000014</v>
      </c>
      <c r="AB312" s="19">
        <f>MAX(0,MIN(10,0.2*G312+5*Y312))</f>
        <v>6.2398208955223886</v>
      </c>
      <c r="AC312" s="19">
        <f t="shared" si="230"/>
        <v>10</v>
      </c>
      <c r="AD312" s="19">
        <f>MAX(0,MIN(10,2+0.15*G312+4*Y312-0.03*((L312+M312)/2)))</f>
        <v>6.7387342164179111</v>
      </c>
      <c r="AE312" s="19">
        <f>MAX(0,MIN(10,0.15*N312+0.08*O312))</f>
        <v>6.9210000000000001E-3</v>
      </c>
      <c r="AF312" s="19"/>
      <c r="AG312" s="19"/>
      <c r="AH312" s="19">
        <f>MAX(0,MIN(10,P312/3.2-2*U312))</f>
        <v>5.5374999999999996</v>
      </c>
      <c r="AI312" s="19">
        <f>10*(0.22*AA312+0.2*AB312+0.18*AC312+0.12*AD312+0.1*AE312+0.13*T312+0.05*AH312)</f>
        <v>48.646293850746275</v>
      </c>
      <c r="AJ312" s="19">
        <f>AI312*V312</f>
        <v>48.646293850746275</v>
      </c>
      <c r="AK312" s="20">
        <f>AJ312*(P312/200)</f>
        <v>4.6213979158208964</v>
      </c>
    </row>
    <row r="313" spans="1:50" x14ac:dyDescent="0.25">
      <c r="A313" t="s">
        <v>356</v>
      </c>
      <c r="B313" s="15">
        <v>958</v>
      </c>
      <c r="C313" s="15">
        <v>105</v>
      </c>
      <c r="D313" s="16">
        <v>0.4526</v>
      </c>
      <c r="E313" s="16">
        <v>0.42309999999999998</v>
      </c>
      <c r="F313" s="15">
        <v>0.53</v>
      </c>
      <c r="G313" s="15">
        <v>14</v>
      </c>
      <c r="H313" s="15">
        <v>20</v>
      </c>
      <c r="I313" s="17">
        <v>54</v>
      </c>
      <c r="J313" s="15">
        <v>14</v>
      </c>
      <c r="K313" s="15">
        <v>0</v>
      </c>
      <c r="L313" s="16">
        <v>0.58819999999999995</v>
      </c>
      <c r="M313" s="18">
        <v>1</v>
      </c>
      <c r="N313" s="16">
        <v>2.23E-2</v>
      </c>
      <c r="O313" s="16">
        <v>0.12330000000000001</v>
      </c>
      <c r="P313" s="15">
        <v>15</v>
      </c>
      <c r="Q313" s="15"/>
      <c r="R313" s="15"/>
      <c r="S313" s="15"/>
      <c r="T313" s="15">
        <v>5</v>
      </c>
      <c r="U313" s="15">
        <v>0.2</v>
      </c>
      <c r="V313" s="15">
        <v>1</v>
      </c>
      <c r="W313" s="15"/>
      <c r="X313" s="19">
        <f>IF(B313=0,0,100*(C313+2*H313+3*I313)/B313)</f>
        <v>32.045929018789145</v>
      </c>
      <c r="Y313" s="19">
        <f>IF(C313=0,0,(J313+K313)/C313)</f>
        <v>0.13333333333333333</v>
      </c>
      <c r="Z313" s="19"/>
      <c r="AA313" s="19">
        <f>MAX(0,MIN(10,5+50*(D313-0.55)+25*(E313-F313)))</f>
        <v>0</v>
      </c>
      <c r="AB313" s="19">
        <f>MAX(0,MIN(10,0.2*G313+5*Y313))</f>
        <v>3.4666666666666668</v>
      </c>
      <c r="AC313" s="19">
        <f t="shared" si="230"/>
        <v>8.0114822546972864</v>
      </c>
      <c r="AD313" s="19">
        <f>MAX(0,MIN(10,2+0.15*G313+4*Y313-0.03*((L313+M313)/2)))</f>
        <v>4.6095103333333327</v>
      </c>
      <c r="AE313" s="19">
        <f>MAX(0,MIN(10,0.15*N313+0.08*O313))</f>
        <v>1.3209000000000002E-2</v>
      </c>
      <c r="AF313" s="19"/>
      <c r="AG313" s="19"/>
      <c r="AH313" s="19">
        <f>MAX(0,MIN(10,P313/3.2-2*U313))</f>
        <v>4.2874999999999996</v>
      </c>
      <c r="AI313" s="19">
        <f>10*(0.22*AA313+0.2*AB313+0.18*AC313+0.12*AD313+0.1*AE313+0.13*T313+0.05*AH313)</f>
        <v>35.542372791788452</v>
      </c>
      <c r="AJ313" s="19">
        <f>AI313*V313</f>
        <v>35.542372791788452</v>
      </c>
      <c r="AK313" s="20">
        <f>AJ313*(P313/200)</f>
        <v>2.665677959384134</v>
      </c>
    </row>
    <row r="314" spans="1:50" x14ac:dyDescent="0.25">
      <c r="A314" t="s">
        <v>357</v>
      </c>
      <c r="B314" s="15">
        <v>1186</v>
      </c>
      <c r="C314" s="15">
        <v>204</v>
      </c>
      <c r="D314" s="16">
        <v>0.50749999999999995</v>
      </c>
      <c r="E314" s="16">
        <v>0.48399999999999999</v>
      </c>
      <c r="F314" s="15">
        <v>0.49</v>
      </c>
      <c r="G314" s="15">
        <v>18.34</v>
      </c>
      <c r="H314" s="15">
        <v>98</v>
      </c>
      <c r="I314" s="17">
        <v>36</v>
      </c>
      <c r="J314" s="15">
        <v>48</v>
      </c>
      <c r="K314" s="15">
        <v>0</v>
      </c>
      <c r="L314" s="16">
        <v>0.67120000000000002</v>
      </c>
      <c r="M314" s="16">
        <v>1</v>
      </c>
      <c r="N314" s="16">
        <v>2.5000000000000001E-2</v>
      </c>
      <c r="O314" s="16">
        <v>0.12920000000000001</v>
      </c>
      <c r="P314" s="15">
        <v>21</v>
      </c>
      <c r="Q314" s="15"/>
      <c r="R314" s="15"/>
      <c r="S314" s="15"/>
      <c r="T314" s="15">
        <v>5.5</v>
      </c>
      <c r="U314" s="15">
        <v>0.2</v>
      </c>
      <c r="V314" s="15">
        <v>1</v>
      </c>
      <c r="W314" s="15"/>
      <c r="X314" s="19">
        <f>IF(B314=0,0,100*(C314+2*H314+3*I314)/B314)</f>
        <v>42.833052276559862</v>
      </c>
      <c r="Y314" s="19">
        <f>IF(C314=0,0,(J314+K314)/C314)</f>
        <v>0.23529411764705882</v>
      </c>
      <c r="Z314" s="19"/>
      <c r="AA314" s="19">
        <f>MAX(0,MIN(10,5+50*(D314-0.55)+25*(E314-F314)))</f>
        <v>2.7249999999999952</v>
      </c>
      <c r="AB314" s="19">
        <f>MAX(0,MIN(10,0.2*G314+5*Y314))</f>
        <v>4.8444705882352945</v>
      </c>
      <c r="AC314" s="19">
        <f t="shared" si="230"/>
        <v>10</v>
      </c>
      <c r="AD314" s="19">
        <f>MAX(0,MIN(10,2+0.15*G314+4*Y314-0.03*((L314+M314)/2)))</f>
        <v>5.6671084705882349</v>
      </c>
      <c r="AE314" s="19">
        <f>MAX(0,MIN(10,0.15*N314+0.08*O314))</f>
        <v>1.4086000000000001E-2</v>
      </c>
      <c r="AF314" s="19"/>
      <c r="AG314" s="19"/>
      <c r="AH314" s="19">
        <f>MAX(0,MIN(10,P314/3.2-2*U314))</f>
        <v>6.1624999999999996</v>
      </c>
      <c r="AI314" s="19">
        <f>10*(0.22*AA314+0.2*AB314+0.18*AC314+0.12*AD314+0.1*AE314+0.13*T314+0.05*AH314)</f>
        <v>50.729807341176461</v>
      </c>
      <c r="AJ314" s="19">
        <f>AI314*V314</f>
        <v>50.729807341176461</v>
      </c>
      <c r="AK314" s="20">
        <f>AJ314*(P314/200)</f>
        <v>5.3266297708235282</v>
      </c>
    </row>
    <row r="315" spans="1:50" x14ac:dyDescent="0.25">
      <c r="A315" t="s">
        <v>358</v>
      </c>
      <c r="B315" s="16">
        <v>0.54900000000000004</v>
      </c>
      <c r="C315" s="16">
        <v>0.50800000000000001</v>
      </c>
      <c r="D315" s="16">
        <v>0.311</v>
      </c>
      <c r="E315" s="16">
        <v>0.26700000000000002</v>
      </c>
      <c r="F315" s="16">
        <v>7.8E-2</v>
      </c>
      <c r="G315" s="16">
        <v>0.14399999999999999</v>
      </c>
      <c r="H315" s="16">
        <v>0.121</v>
      </c>
      <c r="I315" s="23">
        <v>1.9E-2</v>
      </c>
      <c r="J315" s="16">
        <v>2.8000000000000001E-2</v>
      </c>
      <c r="K315" s="16">
        <v>0.151</v>
      </c>
      <c r="L315" s="16">
        <v>0.22800000000000001</v>
      </c>
      <c r="M315" s="16">
        <v>109.8</v>
      </c>
      <c r="N315" s="16">
        <v>86.7</v>
      </c>
      <c r="O315" s="16">
        <v>0.19600000000000001</v>
      </c>
      <c r="P315" s="15">
        <v>5.0999999999999996</v>
      </c>
      <c r="Q315" s="15">
        <v>3.2</v>
      </c>
      <c r="R315" s="15">
        <v>8.3000000000000007</v>
      </c>
      <c r="S315" s="15">
        <v>8</v>
      </c>
      <c r="T315" s="15">
        <v>6.5</v>
      </c>
      <c r="U315" s="15">
        <v>0.2</v>
      </c>
      <c r="V315" s="15">
        <v>0.98</v>
      </c>
      <c r="W315" s="15">
        <v>0.97</v>
      </c>
      <c r="X315" s="19">
        <f>IF(B315=0,0,100*(C315+2*H315+3*I315)/B315)</f>
        <v>146.99453551912566</v>
      </c>
      <c r="Y315" s="19">
        <f>IF(C315=0,0,(J315+K315)/C315)</f>
        <v>0.35236220472440943</v>
      </c>
      <c r="Z315" s="19"/>
      <c r="AA315" s="19">
        <f>MAX(0,MIN(10,5+50*(D315-0.55)+25*(E315-F315)))</f>
        <v>0</v>
      </c>
      <c r="AB315" s="19">
        <f>MAX(0,MIN(10,0.2*G315+5*Y315))</f>
        <v>1.7906110236220472</v>
      </c>
      <c r="AC315" s="19">
        <f t="shared" si="230"/>
        <v>10</v>
      </c>
      <c r="AD315" s="19">
        <f>MAX(0,MIN(10,2+0.15*G315+4*Y315-0.03*((L315+M315)/2)))</f>
        <v>1.7806288188976376</v>
      </c>
      <c r="AE315" s="19">
        <f>MAX(0,MIN(10,0.15*N315+0.08*O315))</f>
        <v>10</v>
      </c>
      <c r="AF315" s="19"/>
      <c r="AG315" s="19"/>
      <c r="AH315" s="19">
        <f>MAX(0,MIN(10,P315/3.2-2*U315))</f>
        <v>1.1937499999999996</v>
      </c>
      <c r="AI315" s="19">
        <f>10*(0.22*AA315+0.2*AB315+0.18*AC315+0.12*AD315+0.1*AE315+0.13*T315+0.05*AH315)</f>
        <v>42.764851629921253</v>
      </c>
      <c r="AJ315" s="19">
        <f>AI315*V315</f>
        <v>41.909554597322824</v>
      </c>
      <c r="AK315" s="20">
        <f>AJ315*(P315/200)</f>
        <v>1.0686936422317319</v>
      </c>
    </row>
    <row r="316" spans="1:50" x14ac:dyDescent="0.25">
      <c r="A316" t="s">
        <v>359</v>
      </c>
      <c r="B316" s="16">
        <v>0.60599999999999998</v>
      </c>
      <c r="C316" s="16">
        <v>0.58799999999999997</v>
      </c>
      <c r="D316" s="16">
        <v>0</v>
      </c>
      <c r="E316" s="16">
        <v>0.31900000000000001</v>
      </c>
      <c r="F316" s="16">
        <v>0.124</v>
      </c>
      <c r="G316" s="16">
        <v>0.16800000000000001</v>
      </c>
      <c r="H316" s="16">
        <v>0.125</v>
      </c>
      <c r="I316" s="23">
        <v>2.1999999999999999E-2</v>
      </c>
      <c r="J316" s="16">
        <v>9.8000000000000004E-2</v>
      </c>
      <c r="K316" s="16">
        <v>0.223</v>
      </c>
      <c r="L316" s="16">
        <v>0.192</v>
      </c>
      <c r="M316" s="16">
        <v>112</v>
      </c>
      <c r="N316" s="16">
        <v>70.7</v>
      </c>
      <c r="O316" s="16">
        <v>0.27700000000000002</v>
      </c>
      <c r="P316" s="15">
        <v>4.4000000000000004</v>
      </c>
      <c r="Q316" s="15">
        <v>7</v>
      </c>
      <c r="R316" s="15">
        <v>11.4</v>
      </c>
      <c r="S316" s="15">
        <v>16</v>
      </c>
      <c r="T316" s="15">
        <v>7</v>
      </c>
      <c r="U316" s="15">
        <v>0.2</v>
      </c>
      <c r="V316" s="15">
        <v>1</v>
      </c>
      <c r="W316" s="15">
        <v>0.99</v>
      </c>
      <c r="X316" s="19">
        <f>IF(B316=0,0,100*(C316+2*H316+3*I316)/B316)</f>
        <v>149.17491749174917</v>
      </c>
      <c r="Y316" s="19">
        <f>IF(C316=0,0,(J316+K316)/C316)</f>
        <v>0.54591836734693877</v>
      </c>
      <c r="Z316" s="19"/>
      <c r="AA316" s="19">
        <f>MAX(0,MIN(10,5+50*(D316-0.55)+25*(E316-F316)))</f>
        <v>0</v>
      </c>
      <c r="AB316" s="19">
        <f>MAX(0,MIN(10,0.2*G316+5*Y316))</f>
        <v>2.7631918367346939</v>
      </c>
      <c r="AC316" s="19">
        <f t="shared" si="230"/>
        <v>10</v>
      </c>
      <c r="AD316" s="19">
        <f>MAX(0,MIN(10,2+0.15*G316+4*Y316-0.03*((L316+M316)/2)))</f>
        <v>2.525993469387755</v>
      </c>
      <c r="AE316" s="19">
        <f>MAX(0,MIN(10,0.15*N316+0.08*O316))</f>
        <v>10</v>
      </c>
      <c r="AF316" s="19"/>
      <c r="AG316" s="19"/>
      <c r="AH316" s="19">
        <f>MAX(0,MIN(10,P316/3.2-2*U316))</f>
        <v>0.97499999999999998</v>
      </c>
      <c r="AI316" s="19">
        <f>10*(0.22*AA316+0.2*AB316+0.18*AC316+0.12*AD316+0.1*AE316+0.13*T316+0.05*AH316)</f>
        <v>46.145075836734691</v>
      </c>
      <c r="AJ316" s="19">
        <f>AI316*V316</f>
        <v>46.145075836734691</v>
      </c>
      <c r="AK316" s="20">
        <f>AJ316*(P316/200)</f>
        <v>1.0151916684081632</v>
      </c>
    </row>
    <row r="317" spans="1:50" x14ac:dyDescent="0.25">
      <c r="A317" t="s">
        <v>360</v>
      </c>
      <c r="B317" s="16">
        <v>0.60399999999999998</v>
      </c>
      <c r="C317" s="16">
        <v>0.54800000000000004</v>
      </c>
      <c r="D317" s="16">
        <v>0.38400000000000001</v>
      </c>
      <c r="E317" s="16">
        <v>0.35599999999999998</v>
      </c>
      <c r="F317" s="16">
        <v>1.4999999999999999E-2</v>
      </c>
      <c r="G317" s="16">
        <v>0.09</v>
      </c>
      <c r="H317" s="16">
        <v>0.28000000000000003</v>
      </c>
      <c r="I317" s="23">
        <v>0.02</v>
      </c>
      <c r="J317" s="16">
        <v>2E-3</v>
      </c>
      <c r="K317" s="16">
        <v>0.14499999999999999</v>
      </c>
      <c r="L317" s="16">
        <v>0.22</v>
      </c>
      <c r="M317" s="16">
        <v>112.5</v>
      </c>
      <c r="N317" s="16">
        <v>85.5</v>
      </c>
      <c r="O317" s="16">
        <v>0.22</v>
      </c>
      <c r="P317" s="15">
        <v>5.5</v>
      </c>
      <c r="Q317" s="15">
        <v>3.8</v>
      </c>
      <c r="R317" s="15">
        <v>9.3000000000000007</v>
      </c>
      <c r="S317" s="15">
        <v>10</v>
      </c>
      <c r="T317" s="15">
        <v>6.5</v>
      </c>
      <c r="U317" s="15">
        <v>0.2</v>
      </c>
      <c r="V317" s="15">
        <v>0.98</v>
      </c>
      <c r="W317" s="15">
        <v>0.99</v>
      </c>
      <c r="X317" s="19">
        <f>IF(B317=0,0,100*(C317+2*H317+3*I317)/B317)</f>
        <v>193.37748344370863</v>
      </c>
      <c r="Y317" s="19">
        <f>IF(C317=0,0,(J317+K317)/C317)</f>
        <v>0.26824817518248173</v>
      </c>
      <c r="Z317" s="19"/>
      <c r="AA317" s="19">
        <f>MAX(0,MIN(10,5+50*(D317-0.55)+25*(E317-F317)))</f>
        <v>5.2249999999999961</v>
      </c>
      <c r="AB317" s="19">
        <f>MAX(0,MIN(10,0.2*G317+5*Y317))</f>
        <v>1.3592408759124086</v>
      </c>
      <c r="AC317" s="19">
        <f t="shared" si="230"/>
        <v>10</v>
      </c>
      <c r="AD317" s="19">
        <f>MAX(0,MIN(10,2+0.15*G317+4*Y317-0.03*((L317+M317)/2)))</f>
        <v>1.3956927007299273</v>
      </c>
      <c r="AE317" s="19">
        <f>MAX(0,MIN(10,0.15*N317+0.08*O317))</f>
        <v>10</v>
      </c>
      <c r="AF317" s="19"/>
      <c r="AG317" s="19"/>
      <c r="AH317" s="19">
        <f>MAX(0,MIN(10,P317/3.2-2*U317))</f>
        <v>1.3187500000000001</v>
      </c>
      <c r="AI317" s="19">
        <f>10*(0.22*AA317+0.2*AB317+0.18*AC317+0.12*AD317+0.1*AE317+0.13*T317+0.05*AH317)</f>
        <v>52.997687992700719</v>
      </c>
      <c r="AJ317" s="19">
        <f>AI317*V317</f>
        <v>51.937734232846701</v>
      </c>
      <c r="AK317" s="20">
        <f>AJ317*(P317/200)</f>
        <v>1.4282876914032843</v>
      </c>
    </row>
    <row r="318" spans="1:50" x14ac:dyDescent="0.25">
      <c r="A318" t="s">
        <v>361</v>
      </c>
      <c r="B318" s="15">
        <v>2156</v>
      </c>
      <c r="C318" s="15">
        <v>317</v>
      </c>
      <c r="D318" s="16">
        <v>0.51970000000000005</v>
      </c>
      <c r="E318" s="16">
        <v>0.4965</v>
      </c>
      <c r="F318" s="15">
        <v>0.48</v>
      </c>
      <c r="G318" s="15">
        <v>15.96</v>
      </c>
      <c r="H318" s="15">
        <v>46</v>
      </c>
      <c r="I318" s="17">
        <v>102</v>
      </c>
      <c r="J318" s="15">
        <v>108</v>
      </c>
      <c r="K318" s="15">
        <v>24</v>
      </c>
      <c r="L318" s="16">
        <v>0.29870000000000002</v>
      </c>
      <c r="M318" s="16">
        <v>0.8095</v>
      </c>
      <c r="N318" s="16">
        <v>8.3999999999999995E-3</v>
      </c>
      <c r="O318" s="16">
        <v>6.7100000000000007E-2</v>
      </c>
      <c r="P318" s="15">
        <v>28</v>
      </c>
      <c r="Q318" s="15"/>
      <c r="R318" s="15"/>
      <c r="S318" s="15"/>
      <c r="T318" s="15">
        <v>4</v>
      </c>
      <c r="U318" s="15">
        <v>0.2</v>
      </c>
      <c r="V318" s="15">
        <v>1</v>
      </c>
      <c r="W318" s="15"/>
      <c r="X318" s="19">
        <f>IF(B318=0,0,100*(C318+2*H318+3*I318)/B318)</f>
        <v>33.163265306122447</v>
      </c>
      <c r="Y318" s="19">
        <f>IF(C318=0,0,(J318+K318)/C318)</f>
        <v>0.41640378548895901</v>
      </c>
      <c r="Z318" s="19"/>
      <c r="AA318" s="19">
        <f>MAX(0,MIN(10,5+50*(D318-0.55)+25*(E318-F318)))</f>
        <v>3.8975000000000009</v>
      </c>
      <c r="AB318" s="19">
        <f>MAX(0,MIN(10,0.2*G318+5*Y318))</f>
        <v>5.2740189274447946</v>
      </c>
      <c r="AC318" s="19">
        <f t="shared" si="230"/>
        <v>8.2908163265306118</v>
      </c>
      <c r="AD318" s="19">
        <f>MAX(0,MIN(10,2+0.15*G318+4*Y318-0.03*((L318+M318)/2)))</f>
        <v>6.0429921419558363</v>
      </c>
      <c r="AE318" s="19">
        <f>MAX(0,MIN(10,0.15*N318+0.08*O318))</f>
        <v>6.6280000000000002E-3</v>
      </c>
      <c r="AF318" s="19"/>
      <c r="AG318" s="19"/>
      <c r="AH318" s="19">
        <f>MAX(0,MIN(10,P318/3.2-2*U318))</f>
        <v>8.35</v>
      </c>
      <c r="AI318" s="19">
        <f>10*(0.22*AA318+0.2*AB318+0.18*AC318+0.12*AD318+0.1*AE318+0.13*T318+0.05*AH318)</f>
        <v>50.679225812991703</v>
      </c>
      <c r="AJ318" s="19">
        <f>AI318*V318</f>
        <v>50.679225812991703</v>
      </c>
      <c r="AK318" s="20">
        <f>AJ318*(P318/200)</f>
        <v>7.0950916138188393</v>
      </c>
    </row>
    <row r="319" spans="1:50" x14ac:dyDescent="0.25">
      <c r="A319" t="s">
        <v>362</v>
      </c>
      <c r="B319" s="16">
        <v>0.56499999999999995</v>
      </c>
      <c r="C319" s="16">
        <v>0.503</v>
      </c>
      <c r="D319" s="16">
        <v>0.35</v>
      </c>
      <c r="E319" s="16">
        <v>0.41099999999999998</v>
      </c>
      <c r="F319" s="16">
        <v>2.8000000000000001E-2</v>
      </c>
      <c r="G319" s="16">
        <v>9.8000000000000004E-2</v>
      </c>
      <c r="H319" s="16">
        <v>0.30399999999999999</v>
      </c>
      <c r="I319" s="23">
        <v>5.7000000000000002E-2</v>
      </c>
      <c r="J319" s="16">
        <v>0</v>
      </c>
      <c r="K319" s="16">
        <v>0.19400000000000001</v>
      </c>
      <c r="L319" s="16">
        <v>0.216</v>
      </c>
      <c r="M319" s="16">
        <v>114</v>
      </c>
      <c r="N319" s="16">
        <v>78.599999999999994</v>
      </c>
      <c r="O319" s="16">
        <v>0.27100000000000002</v>
      </c>
      <c r="P319" s="15">
        <v>6.7</v>
      </c>
      <c r="Q319" s="15">
        <v>7.3</v>
      </c>
      <c r="R319" s="15">
        <v>14</v>
      </c>
      <c r="S319" s="15">
        <v>11</v>
      </c>
      <c r="T319" s="15">
        <v>5.5</v>
      </c>
      <c r="U319" s="15">
        <v>0.2</v>
      </c>
      <c r="V319" s="15">
        <v>0.99</v>
      </c>
      <c r="W319" s="15">
        <v>0.97</v>
      </c>
      <c r="X319" s="19">
        <f>IF(B319=0,0,100*(C319+2*H319+3*I319)/B319)</f>
        <v>226.90265486725664</v>
      </c>
      <c r="Y319" s="19">
        <f>IF(C319=0,0,(J319+K319)/C319)</f>
        <v>0.38568588469184889</v>
      </c>
      <c r="Z319" s="19"/>
      <c r="AA319" s="19">
        <f>MAX(0,MIN(10,5+50*(D319-0.55)+25*(E319-F319)))</f>
        <v>4.5749999999999957</v>
      </c>
      <c r="AB319" s="19">
        <f>MAX(0,MIN(10,0.2*G319+5*Y319))</f>
        <v>1.9480294234592446</v>
      </c>
      <c r="AC319" s="19">
        <f t="shared" si="230"/>
        <v>10</v>
      </c>
      <c r="AD319" s="19">
        <f>MAX(0,MIN(10,2+0.15*G319+4*Y319-0.03*((L319+M319)/2)))</f>
        <v>1.8442035387673954</v>
      </c>
      <c r="AE319" s="19">
        <f>MAX(0,MIN(10,0.15*N319+0.08*O319))</f>
        <v>10</v>
      </c>
      <c r="AF319" s="19"/>
      <c r="AG319" s="19"/>
      <c r="AH319" s="19">
        <f>MAX(0,MIN(10,P319/3.2-2*U319))</f>
        <v>1.6937500000000001</v>
      </c>
      <c r="AI319" s="19">
        <f>10*(0.22*AA319+0.2*AB319+0.18*AC319+0.12*AD319+0.1*AE319+0.13*T319+0.05*AH319)</f>
        <v>52.170978093439359</v>
      </c>
      <c r="AJ319" s="19">
        <f>AI319*V319</f>
        <v>51.649268312504965</v>
      </c>
      <c r="AK319" s="20">
        <f>AJ319*(P319/200)</f>
        <v>1.7302504884689165</v>
      </c>
    </row>
    <row r="320" spans="1:50" x14ac:dyDescent="0.25">
      <c r="A320" t="s">
        <v>363</v>
      </c>
      <c r="B320" s="15">
        <v>1236</v>
      </c>
      <c r="C320" s="15">
        <v>192</v>
      </c>
      <c r="D320" s="16">
        <v>0.52459999999999996</v>
      </c>
      <c r="E320" s="16">
        <v>0.51119999999999999</v>
      </c>
      <c r="F320" s="15">
        <v>0.48</v>
      </c>
      <c r="G320" s="15">
        <v>14.9</v>
      </c>
      <c r="H320" s="15">
        <v>68</v>
      </c>
      <c r="I320" s="17">
        <v>93</v>
      </c>
      <c r="J320" s="15">
        <v>22</v>
      </c>
      <c r="K320" s="15">
        <v>0</v>
      </c>
      <c r="L320" s="16">
        <v>0.75560000000000005</v>
      </c>
      <c r="M320" s="16">
        <v>1</v>
      </c>
      <c r="N320" s="16">
        <v>3.6600000000000001E-2</v>
      </c>
      <c r="O320" s="16">
        <v>0.1774</v>
      </c>
      <c r="P320" s="15">
        <v>23</v>
      </c>
      <c r="Q320" s="15"/>
      <c r="R320" s="15"/>
      <c r="S320" s="15"/>
      <c r="T320" s="15">
        <v>7</v>
      </c>
      <c r="U320" s="15">
        <v>0.2</v>
      </c>
      <c r="V320" s="15">
        <v>1</v>
      </c>
      <c r="W320" s="15"/>
      <c r="X320" s="19">
        <f>IF(B320=0,0,100*(C320+2*H320+3*I320)/B320)</f>
        <v>49.110032362459549</v>
      </c>
      <c r="Y320" s="19">
        <f>IF(C320=0,0,(J320+K320)/C320)</f>
        <v>0.11458333333333333</v>
      </c>
      <c r="Z320" s="19"/>
      <c r="AA320" s="19">
        <f>MAX(0,MIN(10,5+50*(D320-0.55)+25*(E320-F320)))</f>
        <v>4.5099999999999953</v>
      </c>
      <c r="AB320" s="19">
        <f>MAX(0,MIN(10,0.2*G320+5*Y320))</f>
        <v>3.5529166666666669</v>
      </c>
      <c r="AC320" s="19">
        <f t="shared" si="230"/>
        <v>10</v>
      </c>
      <c r="AD320" s="19">
        <f>MAX(0,MIN(10,2+0.15*G320+4*Y320-0.03*((L320+M320)/2)))</f>
        <v>4.6669993333333322</v>
      </c>
      <c r="AE320" s="19">
        <f>MAX(0,MIN(10,0.15*N320+0.08*O320))</f>
        <v>1.9681999999999998E-2</v>
      </c>
      <c r="AF320" s="19"/>
      <c r="AG320" s="19"/>
      <c r="AH320" s="19">
        <f>MAX(0,MIN(10,P320/3.2-2*U320))</f>
        <v>6.7874999999999996</v>
      </c>
      <c r="AI320" s="19">
        <f>10*(0.22*AA320+0.2*AB320+0.18*AC320+0.12*AD320+0.1*AE320+0.13*T320+0.05*AH320)</f>
        <v>53.141664533333319</v>
      </c>
      <c r="AJ320" s="19">
        <f>AI320*V320</f>
        <v>53.141664533333319</v>
      </c>
      <c r="AK320" s="20">
        <f>AJ320*(P320/200)</f>
        <v>6.1112914213333323</v>
      </c>
    </row>
    <row r="321" spans="1:50" x14ac:dyDescent="0.25">
      <c r="A321" t="s">
        <v>364</v>
      </c>
      <c r="B321" s="15">
        <v>8</v>
      </c>
      <c r="C321" s="15">
        <v>0</v>
      </c>
      <c r="D321" s="16">
        <v>0</v>
      </c>
      <c r="E321" s="16">
        <v>0</v>
      </c>
      <c r="F321" s="15">
        <v>0</v>
      </c>
      <c r="G321" s="15">
        <v>0</v>
      </c>
      <c r="H321" s="15">
        <v>0</v>
      </c>
      <c r="I321" s="17">
        <v>0</v>
      </c>
      <c r="J321" s="15">
        <v>0</v>
      </c>
      <c r="K321" s="15">
        <v>0</v>
      </c>
      <c r="L321" s="16">
        <v>0</v>
      </c>
      <c r="M321" s="16">
        <v>0</v>
      </c>
      <c r="N321" s="16">
        <v>0</v>
      </c>
      <c r="O321" s="16">
        <v>0</v>
      </c>
      <c r="P321" s="15">
        <v>1</v>
      </c>
      <c r="Q321" s="15"/>
      <c r="R321" s="15"/>
      <c r="S321" s="15"/>
      <c r="T321" s="15">
        <v>3</v>
      </c>
      <c r="U321" s="15">
        <v>0.2</v>
      </c>
      <c r="V321" s="15">
        <v>0.95</v>
      </c>
      <c r="W321" s="15"/>
      <c r="X321" s="19">
        <f>IF(B321=0,0,100*(C321+2*H321+3*I321)/B321)</f>
        <v>0</v>
      </c>
      <c r="Y321" s="19">
        <f>IF(C321=0,0,(J321+K321)/C321)</f>
        <v>0</v>
      </c>
      <c r="Z321" s="19"/>
      <c r="AA321" s="19">
        <f>MAX(0,MIN(10,5+50*(D321-0.55)+25*(E321-F321)))</f>
        <v>0</v>
      </c>
      <c r="AB321" s="19">
        <f>MAX(0,MIN(10,0.2*G321+5*Y321))</f>
        <v>0</v>
      </c>
      <c r="AC321" s="19">
        <f t="shared" si="230"/>
        <v>0</v>
      </c>
      <c r="AD321" s="19">
        <f>MAX(0,MIN(10,2+0.15*G321+4*Y321-0.03*((L321+M321)/2)))</f>
        <v>2</v>
      </c>
      <c r="AE321" s="19">
        <f>MAX(0,MIN(10,0.15*N321+0.08*O321))</f>
        <v>0</v>
      </c>
      <c r="AF321" s="19"/>
      <c r="AG321" s="19"/>
      <c r="AH321" s="19">
        <f>MAX(0,MIN(10,P321/3.2-2*U321))</f>
        <v>0</v>
      </c>
      <c r="AI321" s="19">
        <f>10*(0.22*AA321+0.2*AB321+0.18*AC321+0.12*AD321+0.1*AE321+0.13*T321+0.05*AH321)</f>
        <v>6.3</v>
      </c>
      <c r="AJ321" s="19">
        <f>AI321*V321</f>
        <v>5.9849999999999994</v>
      </c>
      <c r="AK321" s="20">
        <f>AJ321*(P321/200)</f>
        <v>2.9924999999999997E-2</v>
      </c>
    </row>
    <row r="322" spans="1:50" x14ac:dyDescent="0.25">
      <c r="A322" t="s">
        <v>365</v>
      </c>
      <c r="B322" s="15">
        <v>454</v>
      </c>
      <c r="C322" s="15">
        <v>60</v>
      </c>
      <c r="D322" s="16">
        <v>0.46879999999999999</v>
      </c>
      <c r="E322" s="16">
        <v>0.46489999999999998</v>
      </c>
      <c r="F322" s="15">
        <v>0.5</v>
      </c>
      <c r="G322" s="15">
        <v>13.65</v>
      </c>
      <c r="H322" s="15">
        <v>12</v>
      </c>
      <c r="I322" s="17">
        <v>39</v>
      </c>
      <c r="J322" s="15">
        <v>2</v>
      </c>
      <c r="K322" s="15">
        <v>0</v>
      </c>
      <c r="L322" s="16">
        <v>0.85709999999999997</v>
      </c>
      <c r="M322" s="16">
        <v>1</v>
      </c>
      <c r="N322" s="16">
        <v>3.7199999999999997E-2</v>
      </c>
      <c r="O322" s="16">
        <v>0.13919999999999999</v>
      </c>
      <c r="P322" s="15">
        <v>12</v>
      </c>
      <c r="Q322" s="15"/>
      <c r="R322" s="15"/>
      <c r="S322" s="15"/>
      <c r="T322" s="15">
        <v>6</v>
      </c>
      <c r="U322" s="15">
        <v>0.2</v>
      </c>
      <c r="V322" s="15">
        <v>1</v>
      </c>
      <c r="W322" s="15"/>
      <c r="X322" s="19">
        <f>IF(B322=0,0,100*(C322+2*H322+3*I322)/B322)</f>
        <v>44.273127753303967</v>
      </c>
      <c r="Y322" s="19">
        <f>IF(C322=0,0,(J322+K322)/C322)</f>
        <v>3.3333333333333333E-2</v>
      </c>
      <c r="Z322" s="19"/>
      <c r="AA322" s="19">
        <f>MAX(0,MIN(10,5+50*(D322-0.55)+25*(E322-F322)))</f>
        <v>6.2499999999997224E-2</v>
      </c>
      <c r="AB322" s="19">
        <f>MAX(0,MIN(10,0.2*G322+5*Y322))</f>
        <v>2.8966666666666669</v>
      </c>
      <c r="AC322" s="19">
        <f t="shared" si="230"/>
        <v>10</v>
      </c>
      <c r="AD322" s="19">
        <f>MAX(0,MIN(10,2+0.15*G322+4*Y322-0.03*((L322+M322)/2)))</f>
        <v>4.1529768333333328</v>
      </c>
      <c r="AE322" s="19">
        <f>MAX(0,MIN(10,0.15*N322+0.08*O322))</f>
        <v>1.6715999999999998E-2</v>
      </c>
      <c r="AF322" s="19"/>
      <c r="AG322" s="19"/>
      <c r="AH322" s="19">
        <f>MAX(0,MIN(10,P322/3.2-2*U322))</f>
        <v>3.35</v>
      </c>
      <c r="AI322" s="19">
        <f>10*(0.22*AA322+0.2*AB322+0.18*AC322+0.12*AD322+0.1*AE322+0.13*T322+0.05*AH322)</f>
        <v>38.406121533333327</v>
      </c>
      <c r="AJ322" s="19">
        <f>AI322*V322</f>
        <v>38.406121533333327</v>
      </c>
      <c r="AK322" s="20">
        <f>AJ322*(P322/200)</f>
        <v>2.3043672919999993</v>
      </c>
    </row>
    <row r="323" spans="1:50" x14ac:dyDescent="0.25">
      <c r="A323" t="s">
        <v>366</v>
      </c>
      <c r="B323" s="16">
        <v>0.53500000000000003</v>
      </c>
      <c r="C323" s="16">
        <v>0.48699999999999999</v>
      </c>
      <c r="D323" s="16">
        <v>0.16800000000000001</v>
      </c>
      <c r="E323" s="16">
        <v>0.38800000000000001</v>
      </c>
      <c r="F323" s="16">
        <v>0.108</v>
      </c>
      <c r="G323" s="16">
        <v>0.24</v>
      </c>
      <c r="H323" s="16">
        <v>0.182</v>
      </c>
      <c r="I323" s="23">
        <v>1.9E-2</v>
      </c>
      <c r="J323" s="16">
        <v>2.7E-2</v>
      </c>
      <c r="K323" s="16">
        <v>0.153</v>
      </c>
      <c r="L323" s="16">
        <v>0.22</v>
      </c>
      <c r="M323" s="16">
        <v>107.6</v>
      </c>
      <c r="N323" s="16">
        <v>84.7</v>
      </c>
      <c r="O323" s="16">
        <v>0.20799999999999999</v>
      </c>
      <c r="P323" s="15">
        <v>6.4</v>
      </c>
      <c r="Q323" s="15">
        <v>4.4000000000000004</v>
      </c>
      <c r="R323" s="15">
        <v>10.9</v>
      </c>
      <c r="S323" s="15">
        <v>8</v>
      </c>
      <c r="T323" s="15">
        <v>5.5</v>
      </c>
      <c r="U323" s="15">
        <v>0.2</v>
      </c>
      <c r="V323" s="15">
        <v>0.96</v>
      </c>
      <c r="W323" s="15">
        <v>0.94</v>
      </c>
      <c r="X323" s="19">
        <f>IF(B323=0,0,100*(C323+2*H323+3*I323)/B323)</f>
        <v>169.71962616822429</v>
      </c>
      <c r="Y323" s="19">
        <f>IF(C323=0,0,(J323+K323)/C323)</f>
        <v>0.36960985626283366</v>
      </c>
      <c r="Z323" s="19"/>
      <c r="AA323" s="19">
        <f>MAX(0,MIN(10,5+50*(D323-0.55)+25*(E323-F323)))</f>
        <v>0</v>
      </c>
      <c r="AB323" s="19">
        <f>MAX(0,MIN(10,0.2*G323+5*Y323))</f>
        <v>1.8960492813141683</v>
      </c>
      <c r="AC323" s="19">
        <f t="shared" si="230"/>
        <v>10</v>
      </c>
      <c r="AD323" s="19">
        <f>MAX(0,MIN(10,2+0.15*G323+4*Y323-0.03*((L323+M323)/2)))</f>
        <v>1.8971394250513351</v>
      </c>
      <c r="AE323" s="19">
        <f>MAX(0,MIN(10,0.15*N323+0.08*O323))</f>
        <v>10</v>
      </c>
      <c r="AF323" s="19"/>
      <c r="AG323" s="19"/>
      <c r="AH323" s="19">
        <f>MAX(0,MIN(10,P323/3.2-2*U323))</f>
        <v>1.6</v>
      </c>
      <c r="AI323" s="19">
        <f>10*(0.22*AA323+0.2*AB323+0.18*AC323+0.12*AD323+0.1*AE323+0.13*T323+0.05*AH323)</f>
        <v>42.018665872689937</v>
      </c>
      <c r="AJ323" s="19">
        <f>AI323*V323</f>
        <v>40.337919237782337</v>
      </c>
      <c r="AK323" s="20">
        <f>AJ323*(P323/200)</f>
        <v>1.2908134156090347</v>
      </c>
    </row>
    <row r="324" spans="1:50" x14ac:dyDescent="0.25">
      <c r="A324" t="s">
        <v>367</v>
      </c>
      <c r="B324" s="15">
        <v>447</v>
      </c>
      <c r="C324" s="15">
        <v>53</v>
      </c>
      <c r="D324" s="16">
        <v>0.54079999999999995</v>
      </c>
      <c r="E324" s="16">
        <v>0.47620000000000001</v>
      </c>
      <c r="F324" s="15">
        <v>0.49</v>
      </c>
      <c r="G324" s="15">
        <v>11.6</v>
      </c>
      <c r="H324" s="15">
        <v>4</v>
      </c>
      <c r="I324" s="17">
        <v>36</v>
      </c>
      <c r="J324" s="15">
        <v>0</v>
      </c>
      <c r="K324" s="15">
        <v>0</v>
      </c>
      <c r="L324" s="18">
        <v>1</v>
      </c>
      <c r="M324" s="18">
        <v>1</v>
      </c>
      <c r="N324" s="16">
        <v>1.55E-2</v>
      </c>
      <c r="O324" s="16">
        <v>6.9599999999999995E-2</v>
      </c>
      <c r="P324" s="15">
        <v>15.5</v>
      </c>
      <c r="Q324" s="15"/>
      <c r="R324" s="15"/>
      <c r="S324" s="15"/>
      <c r="T324" s="15">
        <v>4</v>
      </c>
      <c r="U324" s="15">
        <v>0.2</v>
      </c>
      <c r="V324" s="15">
        <v>1</v>
      </c>
      <c r="W324" s="15"/>
      <c r="X324" s="19">
        <f>IF(B324=0,0,100*(C324+2*H324+3*I324)/B324)</f>
        <v>37.807606263982102</v>
      </c>
      <c r="Y324" s="19">
        <f>IF(C324=0,0,(J324+K324)/C324)</f>
        <v>0</v>
      </c>
      <c r="Z324" s="19"/>
      <c r="AA324" s="19">
        <f>MAX(0,MIN(10,5+50*(D324-0.55)+25*(E324-F324)))</f>
        <v>4.1949999999999958</v>
      </c>
      <c r="AB324" s="19">
        <f>MAX(0,MIN(10,0.2*G324+5*Y324))</f>
        <v>2.3199999999999998</v>
      </c>
      <c r="AC324" s="19">
        <f t="shared" si="230"/>
        <v>9.4519015659955254</v>
      </c>
      <c r="AD324" s="19">
        <f>MAX(0,MIN(10,2+0.15*G324+4*Y324-0.03*((L324+M324)/2)))</f>
        <v>3.7100000000000004</v>
      </c>
      <c r="AE324" s="19">
        <f>MAX(0,MIN(10,0.15*N324+0.08*O324))</f>
        <v>7.8930000000000007E-3</v>
      </c>
      <c r="AF324" s="19"/>
      <c r="AG324" s="19"/>
      <c r="AH324" s="19">
        <f>MAX(0,MIN(10,P324/3.2-2*U324))</f>
        <v>4.4437499999999996</v>
      </c>
      <c r="AI324" s="19">
        <f>10*(0.22*AA324+0.2*AB324+0.18*AC324+0.12*AD324+0.1*AE324+0.13*T324+0.05*AH324)</f>
        <v>42.764190818791938</v>
      </c>
      <c r="AJ324" s="19">
        <f>AI324*V324</f>
        <v>42.764190818791938</v>
      </c>
      <c r="AK324" s="20">
        <f>AJ324*(P324/200)</f>
        <v>3.3142247884563751</v>
      </c>
    </row>
    <row r="325" spans="1:50" s="6" customFormat="1" x14ac:dyDescent="0.25">
      <c r="I325" s="7"/>
      <c r="AK325" s="24">
        <f>SUM(AK307:AK324)</f>
        <v>55.575591005949605</v>
      </c>
      <c r="AL325" s="3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31" spans="1:50" x14ac:dyDescent="0.25">
      <c r="A331" t="s">
        <v>368</v>
      </c>
      <c r="B331" s="15">
        <v>738</v>
      </c>
      <c r="C331" s="15">
        <v>148</v>
      </c>
      <c r="D331" s="16">
        <v>0.66220000000000001</v>
      </c>
      <c r="E331" s="16">
        <v>0.63019999999999998</v>
      </c>
      <c r="F331" s="15">
        <v>0.57999999999999996</v>
      </c>
      <c r="G331" s="15">
        <v>16.07</v>
      </c>
      <c r="H331" s="15">
        <v>88</v>
      </c>
      <c r="I331" s="17">
        <v>9</v>
      </c>
      <c r="J331" s="15">
        <v>24</v>
      </c>
      <c r="K331" s="15">
        <v>0</v>
      </c>
      <c r="L331" s="16">
        <v>0.78569999999999995</v>
      </c>
      <c r="M331" s="18">
        <v>1</v>
      </c>
      <c r="N331" s="16">
        <v>9.8299999999999998E-2</v>
      </c>
      <c r="O331" s="16">
        <v>0.20880000000000001</v>
      </c>
      <c r="P331" s="15">
        <v>13</v>
      </c>
      <c r="Q331" s="15"/>
      <c r="R331" s="15"/>
      <c r="S331" s="15"/>
      <c r="T331" s="15">
        <v>7.6</v>
      </c>
      <c r="U331" s="15">
        <v>0.2</v>
      </c>
      <c r="V331" s="15">
        <v>1</v>
      </c>
      <c r="W331" s="15"/>
      <c r="X331" s="19">
        <f>IF(B331=0,0,100*(C331+2*H331+3*I331)/B331)</f>
        <v>47.560975609756099</v>
      </c>
      <c r="Y331" s="19">
        <f>IF(C331=0,0,(J331+K331)/C331)</f>
        <v>0.16216216216216217</v>
      </c>
      <c r="Z331" s="19"/>
      <c r="AA331" s="19">
        <f>MAX(0,MIN(10,5+50*(D331-0.55)+25*(E331-F331)))</f>
        <v>10</v>
      </c>
      <c r="AB331" s="19">
        <f>MAX(0,MIN(10,0.2*G331+5*Y331))</f>
        <v>4.0248108108108109</v>
      </c>
      <c r="AC331" s="19">
        <f>MAX(0,MIN(10,X331/4))</f>
        <v>10</v>
      </c>
      <c r="AD331" s="19">
        <f>MAX(0,MIN(10,2+0.15*G331+4*Y331-0.03*((L331+M331)/2)))</f>
        <v>5.0323631486486482</v>
      </c>
      <c r="AE331" s="19">
        <f>MAX(0,MIN(10,0.15*N331+0.08*O331))</f>
        <v>3.1448999999999998E-2</v>
      </c>
      <c r="AF331" s="19"/>
      <c r="AG331" s="19"/>
      <c r="AH331" s="19">
        <f>MAX(0,MIN(10,P331/3.2-2*U331))</f>
        <v>3.6625000000000001</v>
      </c>
      <c r="AI331" s="19">
        <f>10*(0.22*AA331+0.2*AB331+0.18*AC331+0.12*AD331+0.1*AE331+0.13*T331+0.05*AH331)</f>
        <v>65.831156400000012</v>
      </c>
      <c r="AJ331" s="19">
        <f>AI331*V331</f>
        <v>65.831156400000012</v>
      </c>
      <c r="AK331" s="20">
        <f>AJ331*(P331/200)</f>
        <v>4.2790251660000012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594E-7B53-431B-9954-23CA667611DC}">
  <sheetPr>
    <tabColor theme="6"/>
  </sheetPr>
  <dimension ref="A1:AM58"/>
  <sheetViews>
    <sheetView tabSelected="1" topLeftCell="T1" zoomScale="89" zoomScaleNormal="89" workbookViewId="0">
      <selection activeCell="Z6" sqref="Z6"/>
    </sheetView>
  </sheetViews>
  <sheetFormatPr defaultRowHeight="15" x14ac:dyDescent="0.25"/>
  <cols>
    <col min="1" max="1" width="12.5703125" hidden="1" customWidth="1"/>
    <col min="2" max="2" width="0" hidden="1" customWidth="1"/>
    <col min="3" max="3" width="9.85546875" hidden="1" customWidth="1"/>
    <col min="4" max="4" width="10.5703125" hidden="1" customWidth="1"/>
    <col min="5" max="5" width="12" hidden="1" customWidth="1"/>
    <col min="6" max="6" width="14.28515625" hidden="1" customWidth="1"/>
    <col min="7" max="8" width="11.85546875" hidden="1" customWidth="1"/>
    <col min="9" max="9" width="11.140625" hidden="1" customWidth="1"/>
    <col min="10" max="11" width="13.140625" hidden="1" customWidth="1"/>
    <col min="12" max="12" width="13.42578125" hidden="1" customWidth="1"/>
    <col min="13" max="13" width="12.85546875" hidden="1" customWidth="1"/>
    <col min="14" max="14" width="11.42578125" hidden="1" customWidth="1"/>
    <col min="15" max="15" width="12.85546875" hidden="1" customWidth="1"/>
    <col min="16" max="16" width="0" hidden="1" customWidth="1"/>
    <col min="17" max="17" width="12.5703125" hidden="1" customWidth="1"/>
    <col min="18" max="19" width="0" hidden="1" customWidth="1"/>
    <col min="21" max="21" width="12.5703125" bestFit="1" customWidth="1"/>
    <col min="22" max="22" width="9" bestFit="1" customWidth="1"/>
    <col min="23" max="23" width="10.42578125" bestFit="1" customWidth="1"/>
    <col min="24" max="24" width="16" bestFit="1" customWidth="1"/>
    <col min="25" max="25" width="12" bestFit="1" customWidth="1"/>
    <col min="26" max="26" width="15.42578125" bestFit="1" customWidth="1"/>
    <col min="27" max="27" width="12" bestFit="1" customWidth="1"/>
    <col min="28" max="28" width="14.5703125" bestFit="1" customWidth="1"/>
    <col min="29" max="29" width="11.7109375" bestFit="1" customWidth="1"/>
    <col min="30" max="30" width="14.28515625" bestFit="1" customWidth="1"/>
    <col min="31" max="31" width="13.28515625" bestFit="1" customWidth="1"/>
    <col min="32" max="32" width="13" bestFit="1" customWidth="1"/>
    <col min="33" max="33" width="10.7109375" bestFit="1" customWidth="1"/>
    <col min="34" max="34" width="20.140625" bestFit="1" customWidth="1"/>
    <col min="35" max="35" width="13.140625" bestFit="1" customWidth="1"/>
    <col min="36" max="36" width="11.28515625" bestFit="1" customWidth="1"/>
    <col min="37" max="37" width="13.42578125" bestFit="1" customWidth="1"/>
    <col min="38" max="38" width="9.7109375" bestFit="1" customWidth="1"/>
  </cols>
  <sheetData>
    <row r="1" spans="1:37" x14ac:dyDescent="0.25">
      <c r="A1" s="25" t="s">
        <v>475</v>
      </c>
      <c r="B1" s="100">
        <v>45894</v>
      </c>
      <c r="U1" s="25" t="s">
        <v>475</v>
      </c>
      <c r="V1" s="100">
        <v>45894</v>
      </c>
    </row>
    <row r="2" spans="1:37" x14ac:dyDescent="0.25">
      <c r="A2" t="s">
        <v>474</v>
      </c>
      <c r="B2" t="s">
        <v>473</v>
      </c>
      <c r="C2" t="s">
        <v>472</v>
      </c>
      <c r="D2" t="s">
        <v>471</v>
      </c>
      <c r="E2" t="s">
        <v>470</v>
      </c>
      <c r="F2" t="s">
        <v>469</v>
      </c>
      <c r="G2" t="s">
        <v>468</v>
      </c>
      <c r="H2" t="s">
        <v>467</v>
      </c>
      <c r="I2" t="s">
        <v>466</v>
      </c>
      <c r="J2" t="s">
        <v>465</v>
      </c>
      <c r="K2" t="s">
        <v>427</v>
      </c>
      <c r="L2" t="s">
        <v>464</v>
      </c>
      <c r="M2" s="99" t="s">
        <v>463</v>
      </c>
      <c r="N2" t="s">
        <v>462</v>
      </c>
      <c r="O2" t="s">
        <v>461</v>
      </c>
      <c r="P2" t="s">
        <v>460</v>
      </c>
      <c r="Q2" t="s">
        <v>459</v>
      </c>
      <c r="U2" t="s">
        <v>474</v>
      </c>
      <c r="V2" t="s">
        <v>473</v>
      </c>
      <c r="W2" t="s">
        <v>472</v>
      </c>
      <c r="X2" t="s">
        <v>471</v>
      </c>
      <c r="Y2" t="s">
        <v>470</v>
      </c>
      <c r="Z2" t="s">
        <v>469</v>
      </c>
      <c r="AA2" t="s">
        <v>468</v>
      </c>
      <c r="AB2" t="s">
        <v>467</v>
      </c>
      <c r="AC2" t="s">
        <v>466</v>
      </c>
      <c r="AD2" t="s">
        <v>465</v>
      </c>
      <c r="AE2" t="s">
        <v>427</v>
      </c>
      <c r="AF2" t="s">
        <v>464</v>
      </c>
      <c r="AG2" s="99" t="s">
        <v>463</v>
      </c>
      <c r="AH2" t="s">
        <v>462</v>
      </c>
      <c r="AI2" t="s">
        <v>461</v>
      </c>
      <c r="AJ2" t="s">
        <v>460</v>
      </c>
      <c r="AK2" t="s">
        <v>459</v>
      </c>
    </row>
    <row r="3" spans="1:37" x14ac:dyDescent="0.25">
      <c r="A3" t="s">
        <v>458</v>
      </c>
      <c r="B3" s="56">
        <v>2</v>
      </c>
      <c r="C3" s="56">
        <v>2</v>
      </c>
      <c r="D3" s="56">
        <v>164</v>
      </c>
      <c r="E3" s="56">
        <v>0.97</v>
      </c>
      <c r="F3" s="56">
        <v>1.022</v>
      </c>
      <c r="G3" s="56">
        <v>1.115</v>
      </c>
      <c r="H3" s="56">
        <v>1.0840000000000001</v>
      </c>
      <c r="I3" s="56">
        <v>78.8</v>
      </c>
      <c r="J3" s="56">
        <f>Table16[[#This Row],[Pace/40]]-1.7</f>
        <v>77.099999999999994</v>
      </c>
      <c r="K3" s="56">
        <v>78.33</v>
      </c>
      <c r="L3" s="38">
        <f>SUM(Table16[[#This Row],[D PPP]],Table16[[#This Row],[O PPP]])*Table16[[#This Row],[Pace/40]]</f>
        <v>164.298</v>
      </c>
      <c r="M3" s="38">
        <v>2.1</v>
      </c>
      <c r="N3" s="38">
        <f>SUM(Table16[[#This Row],[D PPP]],Table16[[#This Row],[O PPP]])*(0.8*Table16[[#This Row],[Pace/40]]+0.2*Table16[[#This Row],[L15 Pace]])</f>
        <v>164.10201000000001</v>
      </c>
      <c r="O3" s="56" t="s">
        <v>443</v>
      </c>
      <c r="P3" s="56">
        <v>14.5</v>
      </c>
      <c r="Q3" s="56"/>
      <c r="U3" t="s">
        <v>458</v>
      </c>
      <c r="V3" s="56">
        <v>4</v>
      </c>
      <c r="W3" s="56">
        <v>4</v>
      </c>
      <c r="X3" s="56">
        <v>164</v>
      </c>
      <c r="Y3" s="56">
        <v>0.998</v>
      </c>
      <c r="Z3" s="56">
        <v>1.022</v>
      </c>
      <c r="AA3" s="56">
        <v>1.115</v>
      </c>
      <c r="AB3" s="56">
        <v>1.0840000000000001</v>
      </c>
      <c r="AC3" s="56">
        <v>79.599999999999994</v>
      </c>
      <c r="AD3" s="56">
        <f>Table168[[#This Row],[Pace/40]]-1.7</f>
        <v>77.899999999999991</v>
      </c>
      <c r="AE3" s="56">
        <v>78.33</v>
      </c>
      <c r="AF3" s="38">
        <f>SUM(Table168[[#This Row],[D PPP]],Table168[[#This Row],[O PPP]])*Table168[[#This Row],[Pace/40]]</f>
        <v>168.19479999999999</v>
      </c>
      <c r="AG3" s="38">
        <v>2.1</v>
      </c>
      <c r="AH3" s="38">
        <f>SUM(Table168[[#This Row],[D PPP]],Table168[[#This Row],[O PPP]])*(0.8*Table168[[#This Row],[Pace/40]]+0.2*Table168[[#This Row],[L15 Pace]])</f>
        <v>167.658098</v>
      </c>
      <c r="AI3" s="56" t="s">
        <v>443</v>
      </c>
      <c r="AJ3" s="56">
        <v>14.5</v>
      </c>
      <c r="AK3" s="56"/>
    </row>
    <row r="4" spans="1:37" x14ac:dyDescent="0.25">
      <c r="A4" t="s">
        <v>457</v>
      </c>
      <c r="B4" s="56">
        <v>2.5</v>
      </c>
      <c r="C4" s="56">
        <v>2.5</v>
      </c>
      <c r="D4" s="56">
        <v>164</v>
      </c>
      <c r="E4" s="56">
        <v>1</v>
      </c>
      <c r="F4" s="56">
        <v>1.042</v>
      </c>
      <c r="G4" s="56">
        <v>1.07</v>
      </c>
      <c r="H4" s="56">
        <v>1.046</v>
      </c>
      <c r="I4" s="56">
        <v>80.5</v>
      </c>
      <c r="J4" s="56">
        <f>Table16[[#This Row],[Pace/40]]-1.7</f>
        <v>78.8</v>
      </c>
      <c r="K4" s="56">
        <v>77.03</v>
      </c>
      <c r="L4" s="38">
        <f>SUM(Table16[[#This Row],[D PPP]],Table16[[#This Row],[O PPP]])*Table16[[#This Row],[Pace/40]]</f>
        <v>166.63500000000002</v>
      </c>
      <c r="M4" s="38">
        <v>2.2000000000000002</v>
      </c>
      <c r="N4" s="38">
        <f>SUM(Table16[[#This Row],[D PPP]],Table16[[#This Row],[O PPP]])*(0.8*Table16[[#This Row],[Pace/40]]+0.2*Table16[[#This Row],[L15 Pace]])</f>
        <v>165.19842000000006</v>
      </c>
      <c r="O4" s="56" t="s">
        <v>439</v>
      </c>
      <c r="P4" s="56">
        <v>7</v>
      </c>
      <c r="Q4" s="56" t="s">
        <v>456</v>
      </c>
      <c r="U4" t="s">
        <v>457</v>
      </c>
      <c r="V4" s="56">
        <v>0</v>
      </c>
      <c r="W4" s="56">
        <v>0</v>
      </c>
      <c r="X4" s="56">
        <v>164</v>
      </c>
      <c r="Y4" s="56">
        <v>1.006</v>
      </c>
      <c r="Z4" s="56">
        <v>1.042</v>
      </c>
      <c r="AA4" s="56">
        <v>1.0569999999999999</v>
      </c>
      <c r="AB4" s="56">
        <v>1.046</v>
      </c>
      <c r="AC4" s="56">
        <v>79.599999999999994</v>
      </c>
      <c r="AD4" s="56">
        <f>Table168[[#This Row],[Pace/40]]-1.7</f>
        <v>77.899999999999991</v>
      </c>
      <c r="AE4" s="56">
        <v>77.03</v>
      </c>
      <c r="AF4" s="38">
        <f>SUM(Table168[[#This Row],[D PPP]],Table168[[#This Row],[O PPP]])*Table168[[#This Row],[Pace/40]]</f>
        <v>164.21479999999997</v>
      </c>
      <c r="AG4" s="38">
        <v>2.2000000000000002</v>
      </c>
      <c r="AH4" s="38">
        <f>SUM(Table168[[#This Row],[D PPP]],Table168[[#This Row],[O PPP]])*(0.8*Table168[[#This Row],[Pace/40]]+0.2*Table168[[#This Row],[L15 Pace]])</f>
        <v>163.15441799999996</v>
      </c>
      <c r="AI4" s="56" t="s">
        <v>439</v>
      </c>
      <c r="AJ4" s="56">
        <v>7</v>
      </c>
      <c r="AK4" s="56" t="s">
        <v>456</v>
      </c>
    </row>
    <row r="5" spans="1:37" x14ac:dyDescent="0.25">
      <c r="A5" t="s">
        <v>455</v>
      </c>
      <c r="B5" s="56">
        <v>4.5</v>
      </c>
      <c r="C5" s="56">
        <v>4.5</v>
      </c>
      <c r="D5" s="56">
        <v>164</v>
      </c>
      <c r="E5" s="56">
        <v>1.02</v>
      </c>
      <c r="F5" s="56">
        <v>1.0169999999999999</v>
      </c>
      <c r="G5" s="56">
        <v>1.05</v>
      </c>
      <c r="H5" s="56">
        <v>1.042</v>
      </c>
      <c r="I5" s="56">
        <v>79.5</v>
      </c>
      <c r="J5" s="56">
        <f>Table16[[#This Row],[Pace/40]]-1.7</f>
        <v>77.8</v>
      </c>
      <c r="K5" s="56">
        <v>78.67</v>
      </c>
      <c r="L5" s="38">
        <f>SUM(Table16[[#This Row],[D PPP]],Table16[[#This Row],[O PPP]])*Table16[[#This Row],[Pace/40]]</f>
        <v>164.56500000000003</v>
      </c>
      <c r="M5" s="38">
        <v>1.9</v>
      </c>
      <c r="N5" s="38">
        <f>SUM(Table16[[#This Row],[D PPP]],Table16[[#This Row],[O PPP]])*(0.8*Table16[[#This Row],[Pace/40]]+0.2*Table16[[#This Row],[L15 Pace]])</f>
        <v>164.22138000000004</v>
      </c>
      <c r="O5" s="56" t="s">
        <v>443</v>
      </c>
      <c r="P5" s="56">
        <v>4.4000000000000004</v>
      </c>
      <c r="Q5" s="56" t="s">
        <v>454</v>
      </c>
      <c r="U5" t="s">
        <v>455</v>
      </c>
      <c r="V5" s="56">
        <v>7.5</v>
      </c>
      <c r="W5" s="56">
        <v>7.5</v>
      </c>
      <c r="X5" s="56">
        <v>164</v>
      </c>
      <c r="Y5" s="56">
        <v>1.02</v>
      </c>
      <c r="Z5" s="56">
        <v>1.0169999999999999</v>
      </c>
      <c r="AA5" s="56">
        <v>1.05</v>
      </c>
      <c r="AB5" s="56">
        <v>1.042</v>
      </c>
      <c r="AC5" s="56">
        <v>79.5</v>
      </c>
      <c r="AD5" s="56">
        <f>Table168[[#This Row],[Pace/40]]-1.7</f>
        <v>77.8</v>
      </c>
      <c r="AE5" s="56">
        <v>78.67</v>
      </c>
      <c r="AF5" s="38">
        <f>SUM(Table168[[#This Row],[D PPP]],Table168[[#This Row],[O PPP]])*Table168[[#This Row],[Pace/40]]</f>
        <v>164.56500000000003</v>
      </c>
      <c r="AG5" s="38">
        <v>1.9</v>
      </c>
      <c r="AH5" s="38">
        <f>SUM(Table168[[#This Row],[D PPP]],Table168[[#This Row],[O PPP]])*(0.8*Table168[[#This Row],[Pace/40]]+0.2*Table168[[#This Row],[L15 Pace]])</f>
        <v>164.22138000000004</v>
      </c>
      <c r="AI5" s="56" t="s">
        <v>443</v>
      </c>
      <c r="AJ5" s="56">
        <v>4.4000000000000004</v>
      </c>
      <c r="AK5" s="56" t="s">
        <v>454</v>
      </c>
    </row>
    <row r="6" spans="1:37" x14ac:dyDescent="0.25">
      <c r="A6" t="s">
        <v>453</v>
      </c>
      <c r="B6" s="56">
        <v>7</v>
      </c>
      <c r="C6" s="56">
        <v>7</v>
      </c>
      <c r="D6" s="56">
        <v>163</v>
      </c>
      <c r="E6" s="56">
        <v>1.01</v>
      </c>
      <c r="F6" s="56">
        <v>1.0409999999999999</v>
      </c>
      <c r="G6" s="56">
        <v>1.0449999999999999</v>
      </c>
      <c r="H6" s="56">
        <v>1.0589999999999999</v>
      </c>
      <c r="I6" s="56">
        <v>80.8</v>
      </c>
      <c r="J6" s="56">
        <f>Table16[[#This Row],[Pace/40]]-1.7</f>
        <v>79.099999999999994</v>
      </c>
      <c r="K6" s="56">
        <v>80.069999999999993</v>
      </c>
      <c r="L6" s="38">
        <f>SUM(Table16[[#This Row],[D PPP]],Table16[[#This Row],[O PPP]])*Table16[[#This Row],[Pace/40]]</f>
        <v>166.04399999999998</v>
      </c>
      <c r="M6" s="38">
        <v>1.2</v>
      </c>
      <c r="N6" s="38">
        <f>SUM(Table16[[#This Row],[D PPP]],Table16[[#This Row],[O PPP]])*(0.8*Table16[[#This Row],[Pace/40]]+0.2*Table16[[#This Row],[L15 Pace]])</f>
        <v>165.74396999999996</v>
      </c>
      <c r="O6" s="56" t="s">
        <v>443</v>
      </c>
      <c r="P6" s="56">
        <v>2.7</v>
      </c>
      <c r="Q6" s="56"/>
      <c r="U6" t="s">
        <v>453</v>
      </c>
      <c r="V6" s="56">
        <v>11</v>
      </c>
      <c r="W6" s="56">
        <v>11</v>
      </c>
      <c r="X6" s="56">
        <v>163</v>
      </c>
      <c r="Y6" s="56">
        <v>1.01</v>
      </c>
      <c r="Z6" s="56">
        <v>1.0409999999999999</v>
      </c>
      <c r="AA6" s="56">
        <v>1.0449999999999999</v>
      </c>
      <c r="AB6" s="56">
        <v>1.0589999999999999</v>
      </c>
      <c r="AC6" s="56">
        <v>80.8</v>
      </c>
      <c r="AD6" s="56">
        <f>Table168[[#This Row],[Pace/40]]-1.7</f>
        <v>79.099999999999994</v>
      </c>
      <c r="AE6" s="56">
        <v>80.069999999999993</v>
      </c>
      <c r="AF6" s="38">
        <f>SUM(Table168[[#This Row],[D PPP]],Table168[[#This Row],[O PPP]])*Table168[[#This Row],[Pace/40]]</f>
        <v>166.04399999999998</v>
      </c>
      <c r="AG6" s="38">
        <v>1.2</v>
      </c>
      <c r="AH6" s="38">
        <f>SUM(Table168[[#This Row],[D PPP]],Table168[[#This Row],[O PPP]])*(0.8*Table168[[#This Row],[Pace/40]]+0.2*Table168[[#This Row],[L15 Pace]])</f>
        <v>165.74396999999996</v>
      </c>
      <c r="AI6" s="56" t="s">
        <v>443</v>
      </c>
      <c r="AJ6" s="56">
        <v>2.7</v>
      </c>
      <c r="AK6" s="56"/>
    </row>
    <row r="7" spans="1:37" x14ac:dyDescent="0.25">
      <c r="A7" t="s">
        <v>452</v>
      </c>
      <c r="B7" s="56">
        <v>1</v>
      </c>
      <c r="C7" s="56">
        <v>1</v>
      </c>
      <c r="D7" s="56">
        <v>166</v>
      </c>
      <c r="E7" s="56">
        <v>0.97499999999999998</v>
      </c>
      <c r="F7" s="56">
        <v>0.98299999999999998</v>
      </c>
      <c r="G7" s="56">
        <v>1.06</v>
      </c>
      <c r="H7" s="56">
        <v>1.1359999999999999</v>
      </c>
      <c r="I7" s="56">
        <v>79.8</v>
      </c>
      <c r="J7" s="56">
        <f>Table16[[#This Row],[Pace/40]]-1.7</f>
        <v>78.099999999999994</v>
      </c>
      <c r="K7" s="56">
        <v>78.03</v>
      </c>
      <c r="L7" s="38">
        <f>SUM(Table16[[#This Row],[D PPP]],Table16[[#This Row],[O PPP]])*Table16[[#This Row],[Pace/40]]</f>
        <v>162.393</v>
      </c>
      <c r="M7" s="38">
        <v>2</v>
      </c>
      <c r="N7" s="38">
        <f>SUM(Table16[[#This Row],[D PPP]],Table16[[#This Row],[O PPP]])*(0.8*Table16[[#This Row],[Pace/40]]+0.2*Table16[[#This Row],[L15 Pace]])</f>
        <v>161.67261000000002</v>
      </c>
      <c r="O7" s="56" t="s">
        <v>443</v>
      </c>
      <c r="P7" s="56">
        <v>-0.9</v>
      </c>
      <c r="Q7" s="56"/>
      <c r="U7" t="s">
        <v>452</v>
      </c>
      <c r="V7" s="56">
        <v>2</v>
      </c>
      <c r="W7" s="56">
        <v>2</v>
      </c>
      <c r="X7" s="56">
        <v>166</v>
      </c>
      <c r="Y7" s="56">
        <v>1.022</v>
      </c>
      <c r="Z7" s="56">
        <v>0.98299999999999998</v>
      </c>
      <c r="AA7" s="56">
        <v>1.056</v>
      </c>
      <c r="AB7" s="56">
        <v>1.1359999999999999</v>
      </c>
      <c r="AC7" s="56">
        <v>79.099999999999994</v>
      </c>
      <c r="AD7" s="56">
        <f>Table168[[#This Row],[Pace/40]]-1.7</f>
        <v>77.399999999999991</v>
      </c>
      <c r="AE7" s="56">
        <v>78.03</v>
      </c>
      <c r="AF7" s="38">
        <f>SUM(Table168[[#This Row],[D PPP]],Table168[[#This Row],[O PPP]])*Table168[[#This Row],[Pace/40]]</f>
        <v>164.3698</v>
      </c>
      <c r="AG7" s="38">
        <v>2</v>
      </c>
      <c r="AH7" s="38">
        <f>SUM(Table168[[#This Row],[D PPP]],Table168[[#This Row],[O PPP]])*(0.8*Table168[[#This Row],[Pace/40]]+0.2*Table168[[#This Row],[L15 Pace]])</f>
        <v>163.92510800000002</v>
      </c>
      <c r="AI7" s="56" t="s">
        <v>443</v>
      </c>
      <c r="AJ7" s="56">
        <v>-0.9</v>
      </c>
      <c r="AK7" s="56"/>
    </row>
    <row r="8" spans="1:37" x14ac:dyDescent="0.25">
      <c r="A8" t="s">
        <v>451</v>
      </c>
      <c r="B8" s="56">
        <v>3</v>
      </c>
      <c r="C8" s="56">
        <v>3</v>
      </c>
      <c r="D8" s="56">
        <v>160</v>
      </c>
      <c r="E8" s="56">
        <v>0.96499999999999997</v>
      </c>
      <c r="F8" s="56">
        <v>0.95399999999999996</v>
      </c>
      <c r="G8" s="56">
        <v>1.085</v>
      </c>
      <c r="H8" s="56">
        <v>1.103</v>
      </c>
      <c r="I8" s="56">
        <v>78.2</v>
      </c>
      <c r="J8" s="56">
        <f>Table16[[#This Row],[Pace/40]]-1.7</f>
        <v>76.5</v>
      </c>
      <c r="K8" s="56">
        <v>75.97</v>
      </c>
      <c r="L8" s="38">
        <f>SUM(Table16[[#This Row],[D PPP]],Table16[[#This Row],[O PPP]])*Table16[[#This Row],[Pace/40]]</f>
        <v>160.31</v>
      </c>
      <c r="M8" s="38">
        <v>1.6</v>
      </c>
      <c r="N8" s="38">
        <f>SUM(Table16[[#This Row],[D PPP]],Table16[[#This Row],[O PPP]])*(0.8*Table16[[#This Row],[Pace/40]]+0.2*Table16[[#This Row],[L15 Pace]])</f>
        <v>159.39570000000001</v>
      </c>
      <c r="O8" s="56" t="s">
        <v>439</v>
      </c>
      <c r="P8" s="56">
        <v>7.3</v>
      </c>
      <c r="Q8" s="56" t="s">
        <v>450</v>
      </c>
      <c r="U8" t="s">
        <v>451</v>
      </c>
      <c r="V8" s="56">
        <v>1.2</v>
      </c>
      <c r="W8" s="56">
        <v>1.2</v>
      </c>
      <c r="X8" s="56">
        <v>160</v>
      </c>
      <c r="Y8" s="56">
        <v>1.0169999999999999</v>
      </c>
      <c r="Z8" s="56">
        <v>0.95399999999999996</v>
      </c>
      <c r="AA8" s="56">
        <v>1.0640000000000001</v>
      </c>
      <c r="AB8" s="56">
        <v>1.103</v>
      </c>
      <c r="AC8" s="56">
        <v>78.55</v>
      </c>
      <c r="AD8" s="56">
        <f>Table168[[#This Row],[Pace/40]]-1.7</f>
        <v>76.849999999999994</v>
      </c>
      <c r="AE8" s="56">
        <v>75.97</v>
      </c>
      <c r="AF8" s="38">
        <f>SUM(Table168[[#This Row],[D PPP]],Table168[[#This Row],[O PPP]])*Table168[[#This Row],[Pace/40]]</f>
        <v>163.46254999999999</v>
      </c>
      <c r="AG8" s="38">
        <v>1.6</v>
      </c>
      <c r="AH8" s="38">
        <f>SUM(Table168[[#This Row],[D PPP]],Table168[[#This Row],[O PPP]])*(0.8*Table168[[#This Row],[Pace/40]]+0.2*Table168[[#This Row],[L15 Pace]])</f>
        <v>162.38875400000001</v>
      </c>
      <c r="AI8" s="56" t="s">
        <v>439</v>
      </c>
      <c r="AJ8" s="56">
        <v>7.3</v>
      </c>
      <c r="AK8" s="56" t="s">
        <v>450</v>
      </c>
    </row>
    <row r="9" spans="1:37" x14ac:dyDescent="0.25">
      <c r="A9" t="s">
        <v>449</v>
      </c>
      <c r="B9" s="56">
        <v>2.5</v>
      </c>
      <c r="C9" s="56">
        <v>2.5</v>
      </c>
      <c r="D9" s="56">
        <v>167</v>
      </c>
      <c r="E9" s="56">
        <v>1.03</v>
      </c>
      <c r="F9" s="56">
        <v>1.0509999999999999</v>
      </c>
      <c r="G9" s="56">
        <v>1.07</v>
      </c>
      <c r="H9" s="56">
        <v>1.0760000000000001</v>
      </c>
      <c r="I9" s="56">
        <v>81.5</v>
      </c>
      <c r="J9" s="56">
        <f>Table16[[#This Row],[Pace/40]]-1.7</f>
        <v>79.8</v>
      </c>
      <c r="K9" s="56">
        <v>79.5</v>
      </c>
      <c r="L9" s="38">
        <f>SUM(Table16[[#This Row],[D PPP]],Table16[[#This Row],[O PPP]])*Table16[[#This Row],[Pace/40]]</f>
        <v>171.15</v>
      </c>
      <c r="M9" s="38">
        <v>1.8</v>
      </c>
      <c r="N9" s="38">
        <f>SUM(Table16[[#This Row],[D PPP]],Table16[[#This Row],[O PPP]])*(0.8*Table16[[#This Row],[Pace/40]]+0.2*Table16[[#This Row],[L15 Pace]])</f>
        <v>170.31000000000003</v>
      </c>
      <c r="O9" s="56" t="s">
        <v>443</v>
      </c>
      <c r="P9" s="56">
        <v>4</v>
      </c>
      <c r="Q9" s="56" t="s">
        <v>448</v>
      </c>
      <c r="U9" t="s">
        <v>449</v>
      </c>
      <c r="V9" s="56">
        <v>1.75</v>
      </c>
      <c r="W9" s="56">
        <v>1.75</v>
      </c>
      <c r="X9" s="56">
        <v>167</v>
      </c>
      <c r="Y9" s="56">
        <v>1.028</v>
      </c>
      <c r="Z9" s="56">
        <v>1.0509999999999999</v>
      </c>
      <c r="AA9" s="56">
        <v>1.028</v>
      </c>
      <c r="AB9" s="56">
        <v>1.0760000000000001</v>
      </c>
      <c r="AC9" s="56">
        <v>79.55</v>
      </c>
      <c r="AD9" s="56">
        <f>Table168[[#This Row],[Pace/40]]-1.7</f>
        <v>77.849999999999994</v>
      </c>
      <c r="AE9" s="56">
        <v>79.5</v>
      </c>
      <c r="AF9" s="38">
        <f>SUM(Table168[[#This Row],[D PPP]],Table168[[#This Row],[O PPP]])*Table168[[#This Row],[Pace/40]]</f>
        <v>163.5548</v>
      </c>
      <c r="AG9" s="38">
        <v>1.8</v>
      </c>
      <c r="AH9" s="38">
        <f>SUM(Table168[[#This Row],[D PPP]],Table168[[#This Row],[O PPP]])*(0.8*Table168[[#This Row],[Pace/40]]+0.2*Table168[[#This Row],[L15 Pace]])</f>
        <v>163.53424000000001</v>
      </c>
      <c r="AI9" s="56" t="s">
        <v>443</v>
      </c>
      <c r="AJ9" s="56">
        <v>4</v>
      </c>
      <c r="AK9" s="56" t="s">
        <v>448</v>
      </c>
    </row>
    <row r="10" spans="1:37" x14ac:dyDescent="0.25">
      <c r="A10" t="s">
        <v>447</v>
      </c>
      <c r="B10" s="56">
        <v>6.5</v>
      </c>
      <c r="C10" s="56">
        <v>6.5</v>
      </c>
      <c r="D10" s="56">
        <v>154</v>
      </c>
      <c r="E10" s="56">
        <v>0.99</v>
      </c>
      <c r="F10" s="56">
        <v>0.98399999999999999</v>
      </c>
      <c r="G10" s="56">
        <v>1.03</v>
      </c>
      <c r="H10" s="56">
        <v>1.05</v>
      </c>
      <c r="I10" s="56">
        <v>79.8</v>
      </c>
      <c r="J10" s="56">
        <f>Table16[[#This Row],[Pace/40]]-1.7</f>
        <v>78.099999999999994</v>
      </c>
      <c r="K10" s="56">
        <v>73.430000000000007</v>
      </c>
      <c r="L10" s="38">
        <f>SUM(Table16[[#This Row],[D PPP]],Table16[[#This Row],[O PPP]])*Table16[[#This Row],[Pace/40]]</f>
        <v>161.196</v>
      </c>
      <c r="M10" s="38">
        <v>2.1</v>
      </c>
      <c r="N10" s="38">
        <f>SUM(Table16[[#This Row],[D PPP]],Table16[[#This Row],[O PPP]])*(0.8*Table16[[#This Row],[Pace/40]]+0.2*Table16[[#This Row],[L15 Pace]])</f>
        <v>158.62252000000001</v>
      </c>
      <c r="O10" s="56" t="s">
        <v>443</v>
      </c>
      <c r="P10" s="56">
        <v>0.7</v>
      </c>
      <c r="Q10" s="56"/>
      <c r="U10" t="s">
        <v>447</v>
      </c>
      <c r="V10" s="56">
        <v>7.5</v>
      </c>
      <c r="W10" s="56">
        <v>7.5</v>
      </c>
      <c r="X10" s="56">
        <v>154</v>
      </c>
      <c r="Y10" s="56">
        <v>1.0109999999999999</v>
      </c>
      <c r="Z10" s="56">
        <v>0.98399999999999999</v>
      </c>
      <c r="AA10" s="56">
        <v>1.0109999999999999</v>
      </c>
      <c r="AB10" s="56">
        <v>1.05</v>
      </c>
      <c r="AC10" s="56">
        <v>79.2</v>
      </c>
      <c r="AD10" s="56">
        <f>Table168[[#This Row],[Pace/40]]-1.7</f>
        <v>77.5</v>
      </c>
      <c r="AE10" s="56">
        <v>73.430000000000007</v>
      </c>
      <c r="AF10" s="38">
        <f>SUM(Table168[[#This Row],[D PPP]],Table168[[#This Row],[O PPP]])*Table168[[#This Row],[Pace/40]]</f>
        <v>160.14239999999998</v>
      </c>
      <c r="AG10" s="38">
        <v>2.1</v>
      </c>
      <c r="AH10" s="38">
        <f>SUM(Table168[[#This Row],[D PPP]],Table168[[#This Row],[O PPP]])*(0.8*Table168[[#This Row],[Pace/40]]+0.2*Table168[[#This Row],[L15 Pace]])</f>
        <v>157.809012</v>
      </c>
      <c r="AI10" s="56" t="s">
        <v>443</v>
      </c>
      <c r="AJ10" s="56">
        <v>0.7</v>
      </c>
      <c r="AK10" s="56"/>
    </row>
    <row r="11" spans="1:37" x14ac:dyDescent="0.25">
      <c r="A11" t="s">
        <v>446</v>
      </c>
      <c r="B11" s="56">
        <v>5</v>
      </c>
      <c r="C11" s="56">
        <v>5</v>
      </c>
      <c r="D11" s="56">
        <v>159</v>
      </c>
      <c r="E11" s="56">
        <v>0.95</v>
      </c>
      <c r="F11" s="56">
        <v>1.079</v>
      </c>
      <c r="G11" s="56">
        <v>1.0649999999999999</v>
      </c>
      <c r="H11" s="56">
        <v>0.96799999999999997</v>
      </c>
      <c r="I11" s="56">
        <v>79.2</v>
      </c>
      <c r="J11" s="56">
        <f>Table16[[#This Row],[Pace/40]]-1.7</f>
        <v>77.5</v>
      </c>
      <c r="K11" s="56">
        <v>77.63</v>
      </c>
      <c r="L11" s="38">
        <f>SUM(Table16[[#This Row],[D PPP]],Table16[[#This Row],[O PPP]])*Table16[[#This Row],[Pace/40]]</f>
        <v>159.58799999999999</v>
      </c>
      <c r="M11" s="38">
        <v>1.6</v>
      </c>
      <c r="N11" s="38">
        <f>SUM(Table16[[#This Row],[D PPP]],Table16[[#This Row],[O PPP]])*(0.8*Table16[[#This Row],[Pace/40]]+0.2*Table16[[#This Row],[L15 Pace]])</f>
        <v>158.95528999999999</v>
      </c>
      <c r="O11" s="56" t="s">
        <v>443</v>
      </c>
      <c r="P11" s="56">
        <v>-2.9</v>
      </c>
      <c r="Q11" s="56"/>
      <c r="U11" t="s">
        <v>446</v>
      </c>
      <c r="V11" s="56">
        <v>12</v>
      </c>
      <c r="W11" s="56">
        <v>12</v>
      </c>
      <c r="X11" s="56">
        <v>159</v>
      </c>
      <c r="Y11" s="56">
        <v>1.0409999999999999</v>
      </c>
      <c r="Z11" s="56">
        <v>1.079</v>
      </c>
      <c r="AA11" s="56">
        <v>1.0409999999999999</v>
      </c>
      <c r="AB11" s="56">
        <v>0.96799999999999997</v>
      </c>
      <c r="AC11" s="56">
        <v>79</v>
      </c>
      <c r="AD11" s="56">
        <f>Table168[[#This Row],[Pace/40]]-1.7</f>
        <v>77.3</v>
      </c>
      <c r="AE11" s="56">
        <v>77.63</v>
      </c>
      <c r="AF11" s="38">
        <f>SUM(Table168[[#This Row],[D PPP]],Table168[[#This Row],[O PPP]])*Table168[[#This Row],[Pace/40]]</f>
        <v>164.47799999999998</v>
      </c>
      <c r="AG11" s="38">
        <v>1.6</v>
      </c>
      <c r="AH11" s="38">
        <f>SUM(Table168[[#This Row],[D PPP]],Table168[[#This Row],[O PPP]])*(0.8*Table168[[#This Row],[Pace/40]]+0.2*Table168[[#This Row],[L15 Pace]])</f>
        <v>163.90753199999997</v>
      </c>
      <c r="AI11" s="56" t="s">
        <v>443</v>
      </c>
      <c r="AJ11" s="56">
        <v>-2.9</v>
      </c>
      <c r="AK11" s="56"/>
    </row>
    <row r="12" spans="1:37" x14ac:dyDescent="0.25">
      <c r="A12" t="s">
        <v>445</v>
      </c>
      <c r="B12" s="56">
        <v>8</v>
      </c>
      <c r="C12" s="56">
        <v>8</v>
      </c>
      <c r="D12" s="56">
        <v>173</v>
      </c>
      <c r="E12" s="56">
        <v>1.02</v>
      </c>
      <c r="F12" s="56">
        <v>1.0920000000000001</v>
      </c>
      <c r="G12" s="56">
        <v>1.0549999999999999</v>
      </c>
      <c r="H12" s="56">
        <v>1.0349999999999999</v>
      </c>
      <c r="I12" s="56">
        <v>80.5</v>
      </c>
      <c r="J12" s="56">
        <f>Table16[[#This Row],[Pace/40]]-1.7</f>
        <v>78.8</v>
      </c>
      <c r="K12" s="56">
        <v>80.260000000000005</v>
      </c>
      <c r="L12" s="38">
        <f>SUM(Table16[[#This Row],[D PPP]],Table16[[#This Row],[O PPP]])*Table16[[#This Row],[Pace/40]]</f>
        <v>167.03750000000002</v>
      </c>
      <c r="M12" s="38">
        <v>1.2</v>
      </c>
      <c r="N12" s="38">
        <f>SUM(Table16[[#This Row],[D PPP]],Table16[[#This Row],[O PPP]])*(0.8*Table16[[#This Row],[Pace/40]]+0.2*Table16[[#This Row],[L15 Pace]])</f>
        <v>166.93790000000004</v>
      </c>
      <c r="O12" s="56" t="s">
        <v>439</v>
      </c>
      <c r="P12" s="56">
        <v>-2.7</v>
      </c>
      <c r="Q12" s="56"/>
      <c r="U12" t="s">
        <v>445</v>
      </c>
      <c r="V12" s="56">
        <v>7</v>
      </c>
      <c r="W12" s="56">
        <v>7</v>
      </c>
      <c r="X12" s="56">
        <v>173</v>
      </c>
      <c r="Y12" s="56">
        <v>1.0449999999999999</v>
      </c>
      <c r="Z12" s="56">
        <v>1.0920000000000001</v>
      </c>
      <c r="AA12" s="56">
        <v>1.0449999999999999</v>
      </c>
      <c r="AB12" s="56">
        <v>1.0349999999999999</v>
      </c>
      <c r="AC12" s="56">
        <v>79.7</v>
      </c>
      <c r="AD12" s="56">
        <f>Table168[[#This Row],[Pace/40]]-1.7</f>
        <v>78</v>
      </c>
      <c r="AE12" s="56">
        <v>80.260000000000005</v>
      </c>
      <c r="AF12" s="38">
        <f>SUM(Table168[[#This Row],[D PPP]],Table168[[#This Row],[O PPP]])*Table168[[#This Row],[Pace/40]]</f>
        <v>166.57300000000001</v>
      </c>
      <c r="AG12" s="38">
        <v>1.2</v>
      </c>
      <c r="AH12" s="38">
        <f>SUM(Table168[[#This Row],[D PPP]],Table168[[#This Row],[O PPP]])*(0.8*Table168[[#This Row],[Pace/40]]+0.2*Table168[[#This Row],[L15 Pace]])</f>
        <v>166.80708000000001</v>
      </c>
      <c r="AI12" s="56" t="s">
        <v>439</v>
      </c>
      <c r="AJ12" s="56">
        <v>-2.7</v>
      </c>
      <c r="AK12" s="56"/>
    </row>
    <row r="13" spans="1:37" x14ac:dyDescent="0.25">
      <c r="A13" t="s">
        <v>444</v>
      </c>
      <c r="B13" s="56">
        <v>6</v>
      </c>
      <c r="C13" s="56">
        <v>6</v>
      </c>
      <c r="D13" s="56">
        <v>170</v>
      </c>
      <c r="E13" s="56">
        <v>1.0349999999999999</v>
      </c>
      <c r="F13" s="56">
        <v>1.1299999999999999</v>
      </c>
      <c r="G13" s="56">
        <v>1.095</v>
      </c>
      <c r="H13" s="56">
        <v>1.0089999999999999</v>
      </c>
      <c r="I13" s="56">
        <v>81.2</v>
      </c>
      <c r="J13" s="56">
        <f>Table16[[#This Row],[Pace/40]]-1.7</f>
        <v>79.5</v>
      </c>
      <c r="K13" s="56">
        <v>80.3</v>
      </c>
      <c r="L13" s="38">
        <f>SUM(Table16[[#This Row],[D PPP]],Table16[[#This Row],[O PPP]])*Table16[[#This Row],[Pace/40]]</f>
        <v>172.95599999999999</v>
      </c>
      <c r="M13" s="38">
        <v>1.5</v>
      </c>
      <c r="N13" s="38">
        <f>SUM(Table16[[#This Row],[D PPP]],Table16[[#This Row],[O PPP]])*(0.8*Table16[[#This Row],[Pace/40]]+0.2*Table16[[#This Row],[L15 Pace]])</f>
        <v>172.57260000000002</v>
      </c>
      <c r="O13" s="56" t="s">
        <v>443</v>
      </c>
      <c r="P13" s="56">
        <v>-5.7</v>
      </c>
      <c r="Q13" s="56"/>
      <c r="U13" t="s">
        <v>444</v>
      </c>
      <c r="V13" s="56">
        <v>6.5</v>
      </c>
      <c r="W13" s="56">
        <v>6.5</v>
      </c>
      <c r="X13" s="56">
        <v>170</v>
      </c>
      <c r="Y13" s="56">
        <v>1.054</v>
      </c>
      <c r="Z13" s="56">
        <v>1.1299999999999999</v>
      </c>
      <c r="AA13" s="56">
        <v>1.054</v>
      </c>
      <c r="AB13" s="56">
        <v>1.0089999999999999</v>
      </c>
      <c r="AC13" s="56">
        <v>79.7</v>
      </c>
      <c r="AD13" s="56">
        <f>Table168[[#This Row],[Pace/40]]-1.7</f>
        <v>78</v>
      </c>
      <c r="AE13" s="56">
        <v>80.3</v>
      </c>
      <c r="AF13" s="38">
        <f>SUM(Table168[[#This Row],[D PPP]],Table168[[#This Row],[O PPP]])*Table168[[#This Row],[Pace/40]]</f>
        <v>168.00760000000002</v>
      </c>
      <c r="AG13" s="38">
        <v>1.5</v>
      </c>
      <c r="AH13" s="38">
        <f>SUM(Table168[[#This Row],[D PPP]],Table168[[#This Row],[O PPP]])*(0.8*Table168[[#This Row],[Pace/40]]+0.2*Table168[[#This Row],[L15 Pace]])</f>
        <v>168.26056000000003</v>
      </c>
      <c r="AI13" s="56" t="s">
        <v>443</v>
      </c>
      <c r="AJ13" s="56">
        <v>-5.7</v>
      </c>
      <c r="AK13" s="56"/>
    </row>
    <row r="14" spans="1:37" x14ac:dyDescent="0.25">
      <c r="A14" t="s">
        <v>442</v>
      </c>
      <c r="B14" s="56">
        <v>10</v>
      </c>
      <c r="C14" s="56">
        <v>10</v>
      </c>
      <c r="D14" s="56">
        <v>162</v>
      </c>
      <c r="E14" s="56">
        <v>1.02</v>
      </c>
      <c r="F14" s="56">
        <v>1.1220000000000001</v>
      </c>
      <c r="G14" s="56">
        <v>1.04</v>
      </c>
      <c r="H14" s="56">
        <v>0.98399999999999999</v>
      </c>
      <c r="I14" s="56">
        <v>78.5</v>
      </c>
      <c r="J14" s="56">
        <f>Table16[[#This Row],[Pace/40]]-1.7</f>
        <v>76.8</v>
      </c>
      <c r="K14" s="56">
        <v>75.83</v>
      </c>
      <c r="L14" s="38">
        <f>SUM(Table16[[#This Row],[D PPP]],Table16[[#This Row],[O PPP]])*Table16[[#This Row],[Pace/40]]</f>
        <v>161.71</v>
      </c>
      <c r="M14" s="38">
        <v>1.5</v>
      </c>
      <c r="N14" s="38">
        <f>SUM(Table16[[#This Row],[D PPP]],Table16[[#This Row],[O PPP]])*(0.8*Table16[[#This Row],[Pace/40]]+0.2*Table16[[#This Row],[L15 Pace]])</f>
        <v>160.60996000000003</v>
      </c>
      <c r="O14" s="56" t="s">
        <v>439</v>
      </c>
      <c r="P14" s="56">
        <v>-13.4</v>
      </c>
      <c r="Q14" s="56" t="s">
        <v>441</v>
      </c>
      <c r="U14" t="s">
        <v>442</v>
      </c>
      <c r="V14" s="56">
        <v>9</v>
      </c>
      <c r="W14" s="56">
        <v>9</v>
      </c>
      <c r="X14" s="56">
        <v>162</v>
      </c>
      <c r="Y14" s="56">
        <v>1.0409999999999999</v>
      </c>
      <c r="Z14" s="56">
        <v>1.1220000000000001</v>
      </c>
      <c r="AA14" s="56">
        <v>1.0409999999999999</v>
      </c>
      <c r="AB14" s="56">
        <v>0.98399999999999999</v>
      </c>
      <c r="AC14" s="56">
        <v>78.8</v>
      </c>
      <c r="AD14" s="56">
        <f>Table168[[#This Row],[Pace/40]]-1.7</f>
        <v>77.099999999999994</v>
      </c>
      <c r="AE14" s="56">
        <v>75.83</v>
      </c>
      <c r="AF14" s="38">
        <f>SUM(Table168[[#This Row],[D PPP]],Table168[[#This Row],[O PPP]])*Table168[[#This Row],[Pace/40]]</f>
        <v>164.06159999999997</v>
      </c>
      <c r="AG14" s="38">
        <v>1.5</v>
      </c>
      <c r="AH14" s="38">
        <f>SUM(Table168[[#This Row],[D PPP]],Table168[[#This Row],[O PPP]])*(0.8*Table168[[#This Row],[Pace/40]]+0.2*Table168[[#This Row],[L15 Pace]])</f>
        <v>162.82489200000001</v>
      </c>
      <c r="AI14" s="56" t="s">
        <v>439</v>
      </c>
      <c r="AJ14" s="56">
        <v>-13.4</v>
      </c>
      <c r="AK14" s="56" t="s">
        <v>441</v>
      </c>
    </row>
    <row r="15" spans="1:37" x14ac:dyDescent="0.25">
      <c r="A15" t="s">
        <v>440</v>
      </c>
      <c r="B15" s="56">
        <v>9</v>
      </c>
      <c r="C15" s="56">
        <v>9</v>
      </c>
      <c r="D15" s="56">
        <v>164</v>
      </c>
      <c r="E15" s="56">
        <v>0.97</v>
      </c>
      <c r="F15" s="56">
        <v>1.0669999999999999</v>
      </c>
      <c r="G15" s="56">
        <v>1.02</v>
      </c>
      <c r="H15" s="56">
        <v>0.98899999999999999</v>
      </c>
      <c r="I15" s="56">
        <v>78.8</v>
      </c>
      <c r="J15" s="56">
        <f>Table16[[#This Row],[Pace/40]]-1.7</f>
        <v>77.099999999999994</v>
      </c>
      <c r="K15" s="56">
        <v>77.819999999999993</v>
      </c>
      <c r="L15" s="38">
        <f>SUM(Table16[[#This Row],[D PPP]],Table16[[#This Row],[O PPP]])*Table16[[#This Row],[Pace/40]]</f>
        <v>156.81199999999998</v>
      </c>
      <c r="M15" s="38">
        <v>1.4</v>
      </c>
      <c r="N15" s="38">
        <f>SUM(Table16[[#This Row],[D PPP]],Table16[[#This Row],[O PPP]])*(0.8*Table16[[#This Row],[Pace/40]]+0.2*Table16[[#This Row],[L15 Pace]])</f>
        <v>156.42195999999998</v>
      </c>
      <c r="O15" s="56" t="s">
        <v>439</v>
      </c>
      <c r="P15" s="56">
        <v>-15.6</v>
      </c>
      <c r="Q15" s="56" t="s">
        <v>438</v>
      </c>
      <c r="U15" t="s">
        <v>440</v>
      </c>
      <c r="V15" s="56">
        <v>15</v>
      </c>
      <c r="W15" s="56">
        <v>15</v>
      </c>
      <c r="X15" s="56">
        <v>164</v>
      </c>
      <c r="Y15" s="56">
        <v>1.052</v>
      </c>
      <c r="Z15" s="56">
        <v>1.0669999999999999</v>
      </c>
      <c r="AA15" s="56">
        <v>1.052</v>
      </c>
      <c r="AB15" s="56">
        <v>0.98899999999999999</v>
      </c>
      <c r="AC15" s="56">
        <v>78.95</v>
      </c>
      <c r="AD15" s="56">
        <f>Table168[[#This Row],[Pace/40]]-1.7</f>
        <v>77.25</v>
      </c>
      <c r="AE15" s="56">
        <v>77.819999999999993</v>
      </c>
      <c r="AF15" s="38">
        <f>SUM(Table168[[#This Row],[D PPP]],Table168[[#This Row],[O PPP]])*Table168[[#This Row],[Pace/40]]</f>
        <v>166.11080000000001</v>
      </c>
      <c r="AG15" s="38">
        <v>1.4</v>
      </c>
      <c r="AH15" s="38">
        <f>SUM(Table168[[#This Row],[D PPP]],Table168[[#This Row],[O PPP]])*(0.8*Table168[[#This Row],[Pace/40]]+0.2*Table168[[#This Row],[L15 Pace]])</f>
        <v>165.63529600000001</v>
      </c>
      <c r="AI15" s="56" t="s">
        <v>439</v>
      </c>
      <c r="AJ15" s="56">
        <v>-15.6</v>
      </c>
      <c r="AK15" s="56" t="s">
        <v>438</v>
      </c>
    </row>
    <row r="16" spans="1:37" x14ac:dyDescent="0.25">
      <c r="A16" t="s">
        <v>437</v>
      </c>
      <c r="B16" s="56">
        <v>12</v>
      </c>
      <c r="C16" s="56">
        <v>12</v>
      </c>
      <c r="D16" s="56"/>
      <c r="E16" s="56">
        <v>1.03</v>
      </c>
      <c r="F16" s="56">
        <v>1.0349999999999999</v>
      </c>
      <c r="G16" s="56">
        <v>1.01</v>
      </c>
      <c r="H16" s="56">
        <v>1.0149999999999999</v>
      </c>
      <c r="I16" s="38">
        <v>78.2</v>
      </c>
      <c r="J16" s="56">
        <f>Table16[[#This Row],[Pace/40]]-1.7</f>
        <v>76.5</v>
      </c>
      <c r="K16" s="56">
        <v>78.2</v>
      </c>
      <c r="L16" s="38">
        <f>SUM(Table16[[#This Row],[D PPP]],Table16[[#This Row],[O PPP]])*Table16[[#This Row],[Pace/40]]</f>
        <v>159.52800000000002</v>
      </c>
      <c r="M16" s="38">
        <v>1.6</v>
      </c>
      <c r="N16" s="38">
        <f>SUM(Table16[[#This Row],[D PPP]],Table16[[#This Row],[O PPP]])*(0.8*Table16[[#This Row],[Pace/40]]+0.2*Table16[[#This Row],[L15 Pace]])</f>
        <v>159.52800000000002</v>
      </c>
      <c r="O16" s="56"/>
      <c r="P16" s="56"/>
      <c r="Q16" s="56"/>
      <c r="U16" t="s">
        <v>437</v>
      </c>
      <c r="V16" s="56">
        <v>14</v>
      </c>
      <c r="W16" s="56">
        <v>14</v>
      </c>
      <c r="X16" s="56"/>
      <c r="Y16" s="56">
        <v>1.0629999999999999</v>
      </c>
      <c r="Z16" s="56">
        <v>1.0349999999999999</v>
      </c>
      <c r="AA16" s="56">
        <v>1.0629999999999999</v>
      </c>
      <c r="AB16" s="56">
        <v>1.0149999999999999</v>
      </c>
      <c r="AC16" s="38">
        <v>79.55</v>
      </c>
      <c r="AD16" s="56">
        <f>Table168[[#This Row],[Pace/40]]-1.7</f>
        <v>77.849999999999994</v>
      </c>
      <c r="AE16" s="56">
        <v>78.2</v>
      </c>
      <c r="AF16" s="38">
        <f>SUM(Table168[[#This Row],[D PPP]],Table168[[#This Row],[O PPP]])*Table168[[#This Row],[Pace/40]]</f>
        <v>169.12329999999997</v>
      </c>
      <c r="AG16" s="38">
        <v>1.6</v>
      </c>
      <c r="AH16" s="38">
        <f>SUM(Table168[[#This Row],[D PPP]],Table168[[#This Row],[O PPP]])*(0.8*Table168[[#This Row],[Pace/40]]+0.2*Table168[[#This Row],[L15 Pace]])</f>
        <v>168.54927999999998</v>
      </c>
      <c r="AI16" s="56"/>
      <c r="AJ16" s="56"/>
      <c r="AK16" s="56"/>
    </row>
    <row r="17" spans="1:39" x14ac:dyDescent="0.25">
      <c r="A17" t="s">
        <v>436</v>
      </c>
      <c r="B17" s="56">
        <v>13</v>
      </c>
      <c r="C17" s="56">
        <v>13</v>
      </c>
      <c r="D17" s="56"/>
      <c r="E17" s="56">
        <v>1.0349999999999999</v>
      </c>
      <c r="F17" s="56">
        <v>1.04</v>
      </c>
      <c r="G17" s="56">
        <v>1.0149999999999999</v>
      </c>
      <c r="H17" s="56">
        <v>1.02</v>
      </c>
      <c r="I17" s="38">
        <v>79</v>
      </c>
      <c r="J17" s="56">
        <f>Table16[[#This Row],[Pace/40]]-1.7</f>
        <v>77.3</v>
      </c>
      <c r="K17" s="56">
        <v>79</v>
      </c>
      <c r="L17" s="38">
        <f>SUM(Table16[[#This Row],[D PPP]],Table16[[#This Row],[O PPP]])*Table16[[#This Row],[Pace/40]]</f>
        <v>161.94999999999999</v>
      </c>
      <c r="M17" s="38">
        <v>1.6</v>
      </c>
      <c r="N17" s="38">
        <f>SUM(Table16[[#This Row],[D PPP]],Table16[[#This Row],[O PPP]])*(0.8*Table16[[#This Row],[Pace/40]]+0.2*Table16[[#This Row],[L15 Pace]])</f>
        <v>161.94999999999999</v>
      </c>
      <c r="O17" s="56"/>
      <c r="P17" s="56"/>
      <c r="Q17" s="56"/>
      <c r="U17" t="s">
        <v>436</v>
      </c>
      <c r="V17" s="56">
        <v>13.2</v>
      </c>
      <c r="W17" s="56">
        <v>13.2</v>
      </c>
      <c r="X17" s="56"/>
      <c r="Y17" s="56">
        <v>1.06</v>
      </c>
      <c r="Z17" s="56">
        <v>1.04</v>
      </c>
      <c r="AA17" s="56">
        <v>1.06</v>
      </c>
      <c r="AB17" s="56">
        <v>1.02</v>
      </c>
      <c r="AC17" s="38">
        <v>79.400000000000006</v>
      </c>
      <c r="AD17" s="56">
        <f>Table168[[#This Row],[Pace/40]]-1.7</f>
        <v>77.7</v>
      </c>
      <c r="AE17" s="56">
        <v>79</v>
      </c>
      <c r="AF17" s="38">
        <f>SUM(Table168[[#This Row],[D PPP]],Table168[[#This Row],[O PPP]])*Table168[[#This Row],[Pace/40]]</f>
        <v>168.32800000000003</v>
      </c>
      <c r="AG17" s="38">
        <v>1.6</v>
      </c>
      <c r="AH17" s="38">
        <f>SUM(Table168[[#This Row],[D PPP]],Table168[[#This Row],[O PPP]])*(0.8*Table168[[#This Row],[Pace/40]]+0.2*Table168[[#This Row],[L15 Pace]])</f>
        <v>168.15840000000003</v>
      </c>
      <c r="AI17" s="56"/>
      <c r="AJ17" s="56"/>
      <c r="AK17" s="56"/>
    </row>
    <row r="18" spans="1:39" x14ac:dyDescent="0.25">
      <c r="A18" s="98" t="s">
        <v>435</v>
      </c>
      <c r="B18" s="95">
        <f>AVERAGE(B3:B15)</f>
        <v>5.1538461538461542</v>
      </c>
      <c r="C18" s="94">
        <f>AVERAGE(C3:C15)</f>
        <v>5.1538461538461542</v>
      </c>
      <c r="D18" s="95">
        <v>164</v>
      </c>
      <c r="E18" s="95">
        <f>AVERAGE(E3:E15)</f>
        <v>0.9965384615384616</v>
      </c>
      <c r="F18" s="97"/>
      <c r="G18" s="96">
        <f>AVERAGE(G3:G15)</f>
        <v>1.0615384615384615</v>
      </c>
      <c r="H18" s="94"/>
      <c r="I18" s="95">
        <f>AVERAGE(I3:I15)</f>
        <v>79.776923076923083</v>
      </c>
      <c r="J18" s="95">
        <f>Table16[[#This Row],[Pace/40]]-1.7</f>
        <v>78.07692307692308</v>
      </c>
      <c r="K18" s="95">
        <f>AVERAGE(K3:K15)</f>
        <v>77.913076923076915</v>
      </c>
      <c r="L18" s="95">
        <f>AVERAGE(L3:L15)</f>
        <v>164.20726923076924</v>
      </c>
      <c r="M18" s="95"/>
      <c r="N18" s="95">
        <f>SUM(Table16[[#This Row],[D PPP]],Table16[[#This Row],[O PPP]])*(0.8*Table16[[#This Row],[Pace/40]]+0.2*Table16[[#This Row],[L15 Pace]])</f>
        <v>163.41985662721893</v>
      </c>
      <c r="O18" s="95"/>
      <c r="P18" s="95">
        <f>AVERAGE(P3:P15)</f>
        <v>-4.615384615384599E-2</v>
      </c>
      <c r="Q18" s="94"/>
      <c r="U18" s="98" t="s">
        <v>435</v>
      </c>
      <c r="V18" s="95">
        <f>AVERAGE(V3:V15)</f>
        <v>6.4961538461538462</v>
      </c>
      <c r="W18" s="94">
        <f>AVERAGE(W3:W15)</f>
        <v>6.4961538461538462</v>
      </c>
      <c r="X18" s="95">
        <v>164</v>
      </c>
      <c r="Y18" s="95">
        <f>AVERAGE(Y3:Y17)</f>
        <v>1.0312000000000001</v>
      </c>
      <c r="Z18" s="97"/>
      <c r="AA18" s="96">
        <f>AVERAGE(AA3:AA17)</f>
        <v>1.0521333333333334</v>
      </c>
      <c r="AB18" s="94"/>
      <c r="AC18" s="95">
        <f>AVERAGE(AC3:AC17)</f>
        <v>79.40000000000002</v>
      </c>
      <c r="AD18" s="95">
        <f>Table168[[#This Row],[Pace/40]]-1.7</f>
        <v>77.700000000000017</v>
      </c>
      <c r="AE18" s="95">
        <f>AVERAGE(AE3:AE17)</f>
        <v>78.004666666666665</v>
      </c>
      <c r="AF18" s="95">
        <f>AVERAGE(AF3:AF17)</f>
        <v>165.41536333333332</v>
      </c>
      <c r="AG18" s="95"/>
      <c r="AH18" s="95">
        <f>SUM(Table168[[#This Row],[D PPP]],Table168[[#This Row],[O PPP]])*(0.8*Table168[[#This Row],[Pace/40]]+0.2*Table168[[#This Row],[L15 Pace]])</f>
        <v>164.83527777777783</v>
      </c>
      <c r="AI18" s="95"/>
      <c r="AJ18" s="95">
        <f>AVERAGE(AJ3:AJ15)</f>
        <v>-4.615384615384599E-2</v>
      </c>
      <c r="AK18" s="94"/>
    </row>
    <row r="19" spans="1:39" x14ac:dyDescent="0.25">
      <c r="B19" s="56"/>
      <c r="C19" s="56"/>
      <c r="D19" t="s">
        <v>434</v>
      </c>
      <c r="F19" s="56">
        <f>AVERAGE(F3:F15)</f>
        <v>1.0449230769230768</v>
      </c>
      <c r="H19" s="56">
        <f>AVERAGE(H3:H15)</f>
        <v>1.0446923076923078</v>
      </c>
      <c r="I19" s="36"/>
      <c r="J19" s="36"/>
      <c r="K19" s="39">
        <f>AVERAGE(K3:K15)</f>
        <v>77.913076923076915</v>
      </c>
      <c r="L19" s="36">
        <f>SUM(Table16[[#This Row],[last 15 DPPP]],Table16[[#This Row],[last 15 OPPP]])*Table16[[#This Row],[L15 Pace]]</f>
        <v>162.80836420118342</v>
      </c>
      <c r="M19" s="38"/>
      <c r="N19" s="38">
        <f>SUM(Table16[[#This Row],[D PPP]],Table16[[#This Row],[O PPP]])*(0.8*Table16[[#This Row],[Pace/40]]+0.2*Table16[[#This Row],[L15 Pace]])</f>
        <v>0</v>
      </c>
      <c r="O19" s="56"/>
      <c r="P19" s="56"/>
      <c r="Q19" s="56"/>
      <c r="V19" s="56"/>
      <c r="W19" s="56"/>
      <c r="X19" t="s">
        <v>434</v>
      </c>
      <c r="Z19" s="56">
        <f>AVERAGE(Z3:Z15)</f>
        <v>1.0449230769230768</v>
      </c>
      <c r="AB19" s="56">
        <f>AVERAGE(AB3:AB15)</f>
        <v>1.0446923076923078</v>
      </c>
      <c r="AC19" s="36"/>
      <c r="AD19" s="36"/>
      <c r="AE19" s="39">
        <f>AVERAGE(AE3:AE15)</f>
        <v>77.913076923076915</v>
      </c>
      <c r="AF19" s="36">
        <f>SUM(Table168[[#This Row],[last 15 DPPP]],Table168[[#This Row],[last 15 OPPP]])*Table168[[#This Row],[L15 Pace]]</f>
        <v>162.80836420118342</v>
      </c>
      <c r="AG19" s="38"/>
      <c r="AH19" s="38">
        <f>SUM(Table168[[#This Row],[D PPP]],Table168[[#This Row],[O PPP]])*(0.8*Table168[[#This Row],[Pace/40]]+0.2*Table168[[#This Row],[L15 Pace]])</f>
        <v>0</v>
      </c>
      <c r="AI19" s="56"/>
      <c r="AJ19" s="56"/>
      <c r="AK19" s="56"/>
    </row>
    <row r="20" spans="1:39" x14ac:dyDescent="0.25">
      <c r="K20" t="s">
        <v>433</v>
      </c>
      <c r="AE20" t="s">
        <v>433</v>
      </c>
    </row>
    <row r="21" spans="1:39" ht="19.5" thickBot="1" x14ac:dyDescent="0.35">
      <c r="A21" s="59" t="s">
        <v>432</v>
      </c>
      <c r="C21" s="58" t="s">
        <v>431</v>
      </c>
      <c r="D21" s="25" t="s">
        <v>430</v>
      </c>
      <c r="E21" s="56" t="s">
        <v>429</v>
      </c>
      <c r="F21" s="57" t="s">
        <v>428</v>
      </c>
      <c r="G21" t="s">
        <v>427</v>
      </c>
      <c r="H21" t="s">
        <v>426</v>
      </c>
      <c r="I21" t="s">
        <v>402</v>
      </c>
      <c r="J21" t="s">
        <v>425</v>
      </c>
      <c r="K21" s="25" t="s">
        <v>424</v>
      </c>
      <c r="L21" s="56" t="s">
        <v>423</v>
      </c>
      <c r="M21" s="58" t="s">
        <v>422</v>
      </c>
      <c r="N21" s="58" t="s">
        <v>421</v>
      </c>
      <c r="O21" s="58" t="s">
        <v>420</v>
      </c>
      <c r="P21" s="58" t="s">
        <v>422</v>
      </c>
      <c r="Q21" s="58" t="s">
        <v>421</v>
      </c>
      <c r="R21" s="58" t="s">
        <v>420</v>
      </c>
      <c r="S21" s="58"/>
      <c r="U21" s="59" t="s">
        <v>432</v>
      </c>
      <c r="W21" s="58" t="s">
        <v>431</v>
      </c>
      <c r="X21" s="25" t="s">
        <v>430</v>
      </c>
      <c r="Y21" s="56" t="s">
        <v>429</v>
      </c>
      <c r="Z21" s="57" t="s">
        <v>428</v>
      </c>
      <c r="AA21" t="s">
        <v>427</v>
      </c>
      <c r="AB21" t="s">
        <v>426</v>
      </c>
      <c r="AC21" t="s">
        <v>402</v>
      </c>
      <c r="AD21" t="s">
        <v>425</v>
      </c>
      <c r="AE21" s="25" t="s">
        <v>424</v>
      </c>
      <c r="AF21" s="56" t="s">
        <v>423</v>
      </c>
      <c r="AG21" s="58" t="s">
        <v>422</v>
      </c>
      <c r="AH21" s="58" t="s">
        <v>421</v>
      </c>
      <c r="AI21" s="58" t="s">
        <v>420</v>
      </c>
      <c r="AJ21" s="58" t="s">
        <v>422</v>
      </c>
      <c r="AK21" s="58" t="s">
        <v>421</v>
      </c>
      <c r="AL21" s="58" t="s">
        <v>420</v>
      </c>
      <c r="AM21" s="58"/>
    </row>
    <row r="22" spans="1:39" ht="15.75" thickBot="1" x14ac:dyDescent="0.3">
      <c r="A22" s="55" t="s">
        <v>397</v>
      </c>
      <c r="B22" s="93" t="s">
        <v>419</v>
      </c>
      <c r="C22" s="88">
        <f>VLOOKUP(B22,A3:Q17,4,)</f>
        <v>164</v>
      </c>
      <c r="D22" s="92">
        <f>VLOOKUP(B22,A3:Q17,12,)-L18</f>
        <v>-7.3952692307692587</v>
      </c>
      <c r="E22" s="91">
        <f>VLOOKUP(B22,A3:Q17,9,FALSE)</f>
        <v>78.8</v>
      </c>
      <c r="F22" s="90">
        <v>1.0009999999999999</v>
      </c>
      <c r="G22" s="76">
        <f>VLOOKUP(B22,Table16[],11,FALSE)</f>
        <v>77.819999999999993</v>
      </c>
      <c r="H22" s="77">
        <f>VLOOKUP(B22,A3:Q18,12,FALSE)-N18</f>
        <v>-6.6078566272189505</v>
      </c>
      <c r="I22" s="76">
        <f>VLOOKUP(B22,Table16[],10,FALSE)</f>
        <v>77.099999999999994</v>
      </c>
      <c r="J22" s="50">
        <f>VLOOKUP(B22,A3:Q18,3,FALSE)</f>
        <v>9</v>
      </c>
      <c r="K22" s="89">
        <f>VLOOKUP(B22,A3:Q15,2,FALSE)</f>
        <v>9</v>
      </c>
      <c r="L22" s="88">
        <f>VLOOKUP(B22,A3:Q15,13,FALSE)</f>
        <v>1.4</v>
      </c>
      <c r="M22" s="87"/>
      <c r="N22" s="85"/>
      <c r="O22" s="86"/>
      <c r="P22" s="84"/>
      <c r="Q22" s="85"/>
      <c r="R22" s="84"/>
      <c r="S22" s="83"/>
      <c r="U22" s="55" t="s">
        <v>397</v>
      </c>
      <c r="V22" s="93" t="s">
        <v>418</v>
      </c>
      <c r="W22" s="88">
        <f>VLOOKUP(V22,U3:AK17,4,)</f>
        <v>154</v>
      </c>
      <c r="X22" s="92">
        <f>VLOOKUP(V22,U3:AK17,12,)-AF18</f>
        <v>-5.2729633333333368</v>
      </c>
      <c r="Y22" s="91">
        <f>VLOOKUP(V22,U3:AK17,9,FALSE)</f>
        <v>79.2</v>
      </c>
      <c r="Z22" s="90">
        <v>1.0009999999999999</v>
      </c>
      <c r="AA22" s="76">
        <f>VLOOKUP(V22,Table168[],11,FALSE)</f>
        <v>73.430000000000007</v>
      </c>
      <c r="AB22" s="77">
        <f>VLOOKUP(V22,U3:AK18,12,FALSE)-AH18</f>
        <v>-4.6928777777778521</v>
      </c>
      <c r="AC22" s="76">
        <f>VLOOKUP(V22,Table168[],10,FALSE)</f>
        <v>77.5</v>
      </c>
      <c r="AD22" s="50">
        <f>VLOOKUP(V22,U3:AK18,3,FALSE)</f>
        <v>7.5</v>
      </c>
      <c r="AE22" s="89">
        <f>VLOOKUP(V22,U3:AK15,2,FALSE)</f>
        <v>7.5</v>
      </c>
      <c r="AF22" s="88">
        <f>VLOOKUP(V22,U3:AK15,13,FALSE)</f>
        <v>2.1</v>
      </c>
      <c r="AG22" s="87"/>
      <c r="AH22" s="85"/>
      <c r="AI22" s="86"/>
      <c r="AJ22" s="84"/>
      <c r="AK22" s="85"/>
      <c r="AL22" s="84"/>
      <c r="AM22" s="83"/>
    </row>
    <row r="23" spans="1:39" ht="15.75" thickBot="1" x14ac:dyDescent="0.3">
      <c r="A23" s="49" t="s">
        <v>396</v>
      </c>
      <c r="B23" s="82" t="s">
        <v>417</v>
      </c>
      <c r="C23" s="74">
        <f>VLOOKUP(B23,A3:Q17,4,)</f>
        <v>164</v>
      </c>
      <c r="D23" s="81">
        <f>VLOOKUP(B23,A3:Q17,12,)-L18</f>
        <v>2.4277307692307772</v>
      </c>
      <c r="E23" s="80">
        <f>VLOOKUP(B23,A3:Q17,9,FALSE)</f>
        <v>80.5</v>
      </c>
      <c r="F23" s="79">
        <v>0.999</v>
      </c>
      <c r="G23" s="78">
        <f>VLOOKUP(B23,Table16[],11,FALSE)</f>
        <v>77.03</v>
      </c>
      <c r="H23" s="77">
        <f>VLOOKUP(B23,A3:Q18,12,FALSE)-N18</f>
        <v>3.2151433727810854</v>
      </c>
      <c r="I23" s="76">
        <f>VLOOKUP(B23,Table16[],10,FALSE)</f>
        <v>78.8</v>
      </c>
      <c r="J23" s="50">
        <f>VLOOKUP(B23,A3:Q18,3,FALSE)</f>
        <v>2.5</v>
      </c>
      <c r="K23" s="75">
        <f>VLOOKUP(B23,A3:Q17,2,)</f>
        <v>2.5</v>
      </c>
      <c r="L23" s="74">
        <f>VLOOKUP(B23,A3:Q17,13,FALSE)</f>
        <v>2.2000000000000002</v>
      </c>
      <c r="M23" s="73"/>
      <c r="N23" s="70"/>
      <c r="O23" s="72"/>
      <c r="P23" s="71"/>
      <c r="Q23" s="70"/>
      <c r="R23" s="71"/>
      <c r="S23" s="70"/>
      <c r="U23" s="49" t="s">
        <v>396</v>
      </c>
      <c r="V23" s="82" t="s">
        <v>416</v>
      </c>
      <c r="W23" s="74">
        <f>VLOOKUP(V23,U3:AK17,4,)</f>
        <v>163</v>
      </c>
      <c r="X23" s="81">
        <f>VLOOKUP(V23,U3:AK17,12,)-AF18</f>
        <v>0.62863666666666518</v>
      </c>
      <c r="Y23" s="80">
        <f>VLOOKUP(V23,U3:AK17,9,FALSE)</f>
        <v>80.8</v>
      </c>
      <c r="Z23" s="79">
        <v>0.999</v>
      </c>
      <c r="AA23" s="78">
        <f>VLOOKUP(V23,Table168[],11,FALSE)</f>
        <v>80.069999999999993</v>
      </c>
      <c r="AB23" s="77">
        <f>VLOOKUP(V23,U3:AK18,12,FALSE)-AH18</f>
        <v>1.2087222222221499</v>
      </c>
      <c r="AC23" s="76">
        <f>VLOOKUP(V23,Table168[],10,FALSE)</f>
        <v>79.099999999999994</v>
      </c>
      <c r="AD23" s="50">
        <f>VLOOKUP(V23,U3:AK18,3,FALSE)</f>
        <v>11</v>
      </c>
      <c r="AE23" s="75">
        <f>VLOOKUP(V23,U3:AK17,2,)</f>
        <v>11</v>
      </c>
      <c r="AF23" s="74">
        <f>VLOOKUP(V23,U3:AK17,13,FALSE)</f>
        <v>1.2</v>
      </c>
      <c r="AG23" s="73"/>
      <c r="AH23" s="70"/>
      <c r="AI23" s="72"/>
      <c r="AJ23" s="71"/>
      <c r="AK23" s="70"/>
      <c r="AL23" s="71"/>
      <c r="AM23" s="70"/>
    </row>
    <row r="24" spans="1:39" x14ac:dyDescent="0.25">
      <c r="C24" s="40">
        <f>C22-D18+C23-D18+D18</f>
        <v>164</v>
      </c>
      <c r="D24" s="69">
        <f>D23+D22+L18</f>
        <v>159.23973076923076</v>
      </c>
      <c r="E24" s="38">
        <f>AVERAGE(E23,E22)*AVERAGE(E23,E22)/I18</f>
        <v>79.52327885449813</v>
      </c>
      <c r="F24" s="68">
        <f>IF(E25&gt;0,D24^F22,D24^F23)</f>
        <v>158.43436341447563</v>
      </c>
      <c r="G24" s="38">
        <f>G22-K18+G23-K18</f>
        <v>-0.97615384615383505</v>
      </c>
      <c r="H24" s="65">
        <f>SUM(H22:H23,N18)</f>
        <v>160.02714337278107</v>
      </c>
      <c r="I24" s="38">
        <f>I22-K18+I23-K18</f>
        <v>7.384615384616211E-2</v>
      </c>
      <c r="J24" s="67">
        <f>J23-J22</f>
        <v>-6.5</v>
      </c>
      <c r="K24" s="67">
        <f>K23-K22+VLOOKUP(B23,A3:Q17,10,FALSE)</f>
        <v>72.3</v>
      </c>
      <c r="L24" s="56">
        <f>L23-L22+VLOOKUP(B23,A3:Q17,10,FALSE)</f>
        <v>79.599999999999994</v>
      </c>
      <c r="M24" s="36"/>
      <c r="N24" s="66"/>
      <c r="O24" s="66"/>
      <c r="P24" s="60"/>
      <c r="Q24" s="66"/>
      <c r="R24" s="36"/>
      <c r="S24" s="66"/>
      <c r="W24" s="40">
        <f>W22-X18+W23-X18+X18</f>
        <v>153</v>
      </c>
      <c r="X24" s="69">
        <f>X23+X22+AF18</f>
        <v>160.77103666666665</v>
      </c>
      <c r="Y24" s="38">
        <f>AVERAGE(Y23,Y22)*AVERAGE(Y23,Y22)/AC18</f>
        <v>80.604534005037763</v>
      </c>
      <c r="Z24" s="68">
        <f>IF(Y25&gt;0,X24^Z22,X24^Z23)</f>
        <v>161.58982847638268</v>
      </c>
      <c r="AA24" s="38">
        <f>AA22-AE18+AA23-AE18</f>
        <v>-2.5093333333333305</v>
      </c>
      <c r="AB24" s="65">
        <f>SUM(AB22:AB23,AH18)</f>
        <v>161.35112222222213</v>
      </c>
      <c r="AC24" s="38">
        <f>AC22-AE18+AC23-AE18</f>
        <v>0.59066666666666379</v>
      </c>
      <c r="AD24" s="67">
        <f>AD23-AD22</f>
        <v>3.5</v>
      </c>
      <c r="AE24" s="67">
        <f>AE23-AE22+VLOOKUP(V23,U3:AK17,10,FALSE)</f>
        <v>82.6</v>
      </c>
      <c r="AF24" s="56">
        <f>AF23-AF22+VLOOKUP(V23,U3:AK17,10,FALSE)</f>
        <v>78.199999999999989</v>
      </c>
      <c r="AG24" s="36"/>
      <c r="AH24" s="66"/>
      <c r="AI24" s="66"/>
      <c r="AJ24" s="60"/>
      <c r="AK24" s="66"/>
      <c r="AL24" s="36"/>
      <c r="AM24" s="66"/>
    </row>
    <row r="25" spans="1:39" x14ac:dyDescent="0.25">
      <c r="D25" s="36"/>
      <c r="E25" s="65">
        <f>E24-I18</f>
        <v>-0.25364422242495266</v>
      </c>
      <c r="G25" s="38" t="s">
        <v>415</v>
      </c>
      <c r="H25">
        <f>IF(G24&gt;0,H24^1.002,H24^0.999)</f>
        <v>159.21700825534282</v>
      </c>
      <c r="I25" s="36">
        <f>F24^0.998</f>
        <v>156.83741818119407</v>
      </c>
      <c r="K25">
        <f>J24*0.2+K24*0.8</f>
        <v>56.540000000000006</v>
      </c>
      <c r="X25" s="36"/>
      <c r="Y25" s="65">
        <f>Y24-AC18</f>
        <v>1.2045340050377433</v>
      </c>
      <c r="AA25" s="38" t="s">
        <v>415</v>
      </c>
      <c r="AB25">
        <f>IF(AA24&gt;0,AB24^1.002,AB24^0.999)</f>
        <v>160.53296177582442</v>
      </c>
      <c r="AC25" s="36">
        <f>Z24^0.998</f>
        <v>159.95476861418098</v>
      </c>
      <c r="AD25">
        <f>VLOOKUP(V23,U3:AG17,13,FALSE)</f>
        <v>1.2</v>
      </c>
      <c r="AE25">
        <f>AD24*0.2+AE24*0.8</f>
        <v>66.78</v>
      </c>
    </row>
    <row r="26" spans="1:39" x14ac:dyDescent="0.25">
      <c r="C26" s="36"/>
      <c r="E26" s="36"/>
      <c r="F26" s="64"/>
      <c r="W26" s="36"/>
      <c r="Y26" s="36"/>
      <c r="Z26" s="64"/>
    </row>
    <row r="27" spans="1:39" x14ac:dyDescent="0.25">
      <c r="A27" t="s">
        <v>414</v>
      </c>
      <c r="B27" t="s">
        <v>413</v>
      </c>
      <c r="C27" t="s">
        <v>412</v>
      </c>
      <c r="D27" t="s">
        <v>411</v>
      </c>
      <c r="E27" t="s">
        <v>410</v>
      </c>
      <c r="F27" t="s">
        <v>409</v>
      </c>
      <c r="G27" t="s">
        <v>408</v>
      </c>
      <c r="H27" t="s">
        <v>400</v>
      </c>
      <c r="I27" t="s">
        <v>407</v>
      </c>
      <c r="U27" t="s">
        <v>414</v>
      </c>
      <c r="V27" t="s">
        <v>413</v>
      </c>
      <c r="W27" t="s">
        <v>412</v>
      </c>
      <c r="X27" t="s">
        <v>411</v>
      </c>
      <c r="Y27" t="s">
        <v>410</v>
      </c>
      <c r="Z27" t="s">
        <v>409</v>
      </c>
      <c r="AA27" t="s">
        <v>408</v>
      </c>
      <c r="AB27" t="s">
        <v>400</v>
      </c>
      <c r="AC27" t="s">
        <v>407</v>
      </c>
    </row>
    <row r="28" spans="1:39" x14ac:dyDescent="0.25">
      <c r="A28" t="s">
        <v>391</v>
      </c>
      <c r="B28">
        <v>78.88</v>
      </c>
      <c r="C28">
        <v>77.78</v>
      </c>
      <c r="D28" s="36">
        <f>AVERAGE(B28:C28)</f>
        <v>78.33</v>
      </c>
      <c r="E28">
        <v>110.9</v>
      </c>
      <c r="F28">
        <v>121.6</v>
      </c>
      <c r="G28">
        <f>158.5/2+8.5/2</f>
        <v>83.5</v>
      </c>
      <c r="H28" s="60">
        <f>0.9*E28+0.1*F28</f>
        <v>111.97</v>
      </c>
      <c r="U28" t="s">
        <v>391</v>
      </c>
      <c r="V28">
        <v>78.88</v>
      </c>
      <c r="W28">
        <v>77.78</v>
      </c>
      <c r="X28" s="36">
        <f>AVERAGE(V28:W28)</f>
        <v>78.33</v>
      </c>
      <c r="Y28">
        <v>110.9</v>
      </c>
      <c r="Z28">
        <v>121.6</v>
      </c>
      <c r="AA28">
        <f>158.5/2+8.5/2</f>
        <v>83.5</v>
      </c>
      <c r="AB28" s="60">
        <f>0.9*Y28+0.1*Z28</f>
        <v>111.97</v>
      </c>
    </row>
    <row r="29" spans="1:39" x14ac:dyDescent="0.25">
      <c r="A29" s="61" t="s">
        <v>406</v>
      </c>
      <c r="B29" s="61">
        <v>80.25</v>
      </c>
      <c r="C29" s="61">
        <v>80.5</v>
      </c>
      <c r="D29" s="63">
        <f>AVERAGE(B29:C29)</f>
        <v>80.375</v>
      </c>
      <c r="E29" s="61">
        <v>103.6</v>
      </c>
      <c r="F29" s="61">
        <v>96.4</v>
      </c>
      <c r="G29" s="61">
        <v>165.5</v>
      </c>
      <c r="H29" s="62">
        <f>0.9*E29+0.1*F29</f>
        <v>102.88</v>
      </c>
      <c r="I29" s="63">
        <f>AVERAGE(D28,D29)*(H28+H29)/100</f>
        <v>170.48884624999999</v>
      </c>
      <c r="U29" s="61" t="s">
        <v>406</v>
      </c>
      <c r="V29" s="61">
        <v>80.25</v>
      </c>
      <c r="W29" s="61">
        <v>80.5</v>
      </c>
      <c r="X29" s="63">
        <f>AVERAGE(V29:W29)</f>
        <v>80.375</v>
      </c>
      <c r="Y29" s="61">
        <v>103.6</v>
      </c>
      <c r="Z29" s="61">
        <v>96.4</v>
      </c>
      <c r="AA29" s="61">
        <v>165.5</v>
      </c>
      <c r="AB29" s="62">
        <f>0.9*Y29+0.1*Z29</f>
        <v>102.88</v>
      </c>
      <c r="AC29" s="63">
        <f>AVERAGE(X28,X29)*(AB28+AB29)/100</f>
        <v>170.48884624999999</v>
      </c>
    </row>
    <row r="30" spans="1:39" x14ac:dyDescent="0.25">
      <c r="A30" s="61" t="s">
        <v>387</v>
      </c>
      <c r="B30" s="61">
        <v>78</v>
      </c>
      <c r="C30" s="61">
        <v>80.5</v>
      </c>
      <c r="D30" s="63">
        <f>AVERAGE(B30:C30)</f>
        <v>79.25</v>
      </c>
      <c r="E30" s="61">
        <v>108.1</v>
      </c>
      <c r="F30" s="61">
        <v>94.7</v>
      </c>
      <c r="G30" s="61">
        <v>159</v>
      </c>
      <c r="H30" s="62">
        <f>0.9*E30+0.1*F30</f>
        <v>106.75999999999999</v>
      </c>
      <c r="I30" s="61"/>
      <c r="U30" s="61" t="s">
        <v>387</v>
      </c>
      <c r="V30" s="61">
        <v>78</v>
      </c>
      <c r="W30" s="61">
        <v>80.5</v>
      </c>
      <c r="X30" s="63">
        <f>AVERAGE(V30:W30)</f>
        <v>79.25</v>
      </c>
      <c r="Y30" s="61">
        <v>108.1</v>
      </c>
      <c r="Z30" s="61">
        <v>94.7</v>
      </c>
      <c r="AA30" s="61">
        <v>159</v>
      </c>
      <c r="AB30" s="62">
        <f>0.9*Y30+0.1*Z30</f>
        <v>106.75999999999999</v>
      </c>
      <c r="AC30" s="61"/>
    </row>
    <row r="31" spans="1:39" x14ac:dyDescent="0.25">
      <c r="A31" t="s">
        <v>388</v>
      </c>
      <c r="B31">
        <v>79.36</v>
      </c>
      <c r="C31">
        <v>83.5</v>
      </c>
      <c r="D31" s="36">
        <f>AVERAGE(B31:C31)</f>
        <v>81.430000000000007</v>
      </c>
      <c r="E31">
        <v>104.4</v>
      </c>
      <c r="F31">
        <v>103.6</v>
      </c>
      <c r="G31">
        <f>161.5/2+2.5/2</f>
        <v>82</v>
      </c>
      <c r="H31" s="60">
        <f>0.9*E31+0.1*F31</f>
        <v>104.32000000000001</v>
      </c>
      <c r="I31" s="36">
        <f>AVERAGE(D30,D31)*(H30+H31)/100</f>
        <v>169.581672</v>
      </c>
      <c r="U31" t="s">
        <v>388</v>
      </c>
      <c r="V31">
        <v>79.36</v>
      </c>
      <c r="W31">
        <v>83.5</v>
      </c>
      <c r="X31" s="36">
        <f>AVERAGE(V31:W31)</f>
        <v>81.430000000000007</v>
      </c>
      <c r="Y31">
        <v>104.4</v>
      </c>
      <c r="Z31">
        <v>103.6</v>
      </c>
      <c r="AA31">
        <f>161.5/2+2.5/2</f>
        <v>82</v>
      </c>
      <c r="AB31" s="60">
        <f>0.9*Y31+0.1*Z31</f>
        <v>104.32000000000001</v>
      </c>
      <c r="AC31" s="36">
        <f>AVERAGE(X30,X31)*(AB30+AB31)/100</f>
        <v>169.581672</v>
      </c>
    </row>
    <row r="32" spans="1:39" x14ac:dyDescent="0.25">
      <c r="B32" s="25"/>
      <c r="C32" s="25"/>
      <c r="D32" s="25"/>
      <c r="F32" s="25"/>
      <c r="H32" s="60"/>
      <c r="V32" s="25"/>
      <c r="W32" s="25"/>
      <c r="X32" s="25"/>
      <c r="Z32" s="25"/>
      <c r="AB32" s="60"/>
    </row>
    <row r="34" spans="1:35" ht="19.5" thickBot="1" x14ac:dyDescent="0.35">
      <c r="A34" s="59" t="s">
        <v>405</v>
      </c>
      <c r="C34" t="s">
        <v>404</v>
      </c>
      <c r="D34" t="s">
        <v>403</v>
      </c>
      <c r="E34" s="58" t="s">
        <v>402</v>
      </c>
      <c r="F34" s="25" t="s">
        <v>401</v>
      </c>
      <c r="G34" t="s">
        <v>400</v>
      </c>
      <c r="H34" s="57" t="s">
        <v>399</v>
      </c>
      <c r="I34" s="56" t="s">
        <v>398</v>
      </c>
      <c r="U34" s="59" t="s">
        <v>405</v>
      </c>
      <c r="W34" t="s">
        <v>404</v>
      </c>
      <c r="X34" t="s">
        <v>403</v>
      </c>
      <c r="Y34" s="58" t="s">
        <v>402</v>
      </c>
      <c r="Z34" s="25" t="s">
        <v>401</v>
      </c>
      <c r="AA34" t="s">
        <v>400</v>
      </c>
      <c r="AB34" s="57" t="s">
        <v>399</v>
      </c>
      <c r="AC34" s="56" t="s">
        <v>398</v>
      </c>
    </row>
    <row r="35" spans="1:35" ht="15.75" thickBot="1" x14ac:dyDescent="0.3">
      <c r="A35" s="55" t="s">
        <v>397</v>
      </c>
      <c r="B35" s="54" t="s">
        <v>388</v>
      </c>
      <c r="C35" s="53" t="e">
        <f>SUM(VLOOKUP(B35,Table16[#All],6,FALSE),VLOOKUP(B35,Table16[#All],8,FALSE))*VLOOKUP(B35,Table16[#All],11,FALSE)</f>
        <v>#N/A</v>
      </c>
      <c r="D35" s="46" t="e">
        <f>VLOOKUP(B35,Table16[#All],8,FALSE)*VLOOKUP(B35,Table16[#All],11,FALSE)</f>
        <v>#N/A</v>
      </c>
      <c r="E35" s="52">
        <f>B31</f>
        <v>79.36</v>
      </c>
      <c r="F35" s="51" t="e">
        <f>SUM(VLOOKUP(B35,Table16[#All],5,FALSE),VLOOKUP(B35,Table16[#All],7,FALSE)*E35)</f>
        <v>#N/A</v>
      </c>
      <c r="G35" s="50">
        <f>VLOOKUP(B35,A27:I31,8,FALSE)</f>
        <v>104.32000000000001</v>
      </c>
      <c r="H35" s="43">
        <f>E35*G35/100</f>
        <v>82.788352000000017</v>
      </c>
      <c r="I35" s="42">
        <v>2</v>
      </c>
      <c r="U35" s="55" t="s">
        <v>397</v>
      </c>
      <c r="V35" s="54" t="s">
        <v>388</v>
      </c>
      <c r="W35" s="53" t="e">
        <f>SUM(VLOOKUP(V35,Table168[#All],6,FALSE),VLOOKUP(V35,Table168[#All],8,FALSE))*VLOOKUP(V35,Table168[#All],11,FALSE)</f>
        <v>#N/A</v>
      </c>
      <c r="X35" s="46" t="e">
        <f>VLOOKUP(V35,Table168[#All],8,FALSE)*VLOOKUP(V35,Table168[#All],11,FALSE)</f>
        <v>#N/A</v>
      </c>
      <c r="Y35" s="52">
        <f>V31</f>
        <v>79.36</v>
      </c>
      <c r="Z35" s="51" t="e">
        <f>SUM(VLOOKUP(V35,Table168[#All],5,FALSE),VLOOKUP(V35,Table168[#All],7,FALSE)*Y35)</f>
        <v>#N/A</v>
      </c>
      <c r="AA35" s="50">
        <f>VLOOKUP(V35,U27:AC31,8,FALSE)</f>
        <v>104.32000000000001</v>
      </c>
      <c r="AB35" s="43">
        <f>Y35*AA35/100</f>
        <v>82.788352000000017</v>
      </c>
      <c r="AC35" s="42">
        <v>2</v>
      </c>
    </row>
    <row r="36" spans="1:35" ht="15.75" thickBot="1" x14ac:dyDescent="0.3">
      <c r="A36" s="49" t="s">
        <v>396</v>
      </c>
      <c r="B36" s="48" t="s">
        <v>391</v>
      </c>
      <c r="C36" s="47">
        <f>SUM(VLOOKUP(B36,Table16[#All],6,FALSE),VLOOKUP(B36,Table16[#All],8,FALSE))*VLOOKUP(B36,Table16[#All],11,FALSE)</f>
        <v>165.34556999999998</v>
      </c>
      <c r="D36" s="46">
        <f>VLOOKUP(B36,Table16[#All],8,FALSE)*VLOOKUP(B36,Table16[#All],11,FALSE)</f>
        <v>88.642079999999993</v>
      </c>
      <c r="E36" s="45">
        <f>B28</f>
        <v>78.88</v>
      </c>
      <c r="F36" s="42">
        <f>SUM(VLOOKUP(B36,Table16[#All],5,FALSE),VLOOKUP(B36,Table16[#All],7,FALSE)*E36)</f>
        <v>84.587799999999987</v>
      </c>
      <c r="G36" s="44">
        <f>VLOOKUP(B36,A28:I33,8,FALSE)</f>
        <v>111.97</v>
      </c>
      <c r="H36" s="43">
        <f>E36*G36/100</f>
        <v>88.321935999999994</v>
      </c>
      <c r="I36" s="42">
        <v>2</v>
      </c>
      <c r="U36" s="49" t="s">
        <v>396</v>
      </c>
      <c r="V36" s="48" t="s">
        <v>391</v>
      </c>
      <c r="W36" s="47">
        <f>SUM(VLOOKUP(V36,Table168[#All],6,FALSE),VLOOKUP(V36,Table168[#All],8,FALSE))*VLOOKUP(V36,Table168[#All],11,FALSE)</f>
        <v>165.34556999999998</v>
      </c>
      <c r="X36" s="46">
        <f>VLOOKUP(V36,Table168[#All],8,FALSE)*VLOOKUP(V36,Table168[#All],11,FALSE)</f>
        <v>88.642079999999993</v>
      </c>
      <c r="Y36" s="45">
        <f>V28</f>
        <v>78.88</v>
      </c>
      <c r="Z36" s="42">
        <f>SUM(VLOOKUP(V36,Table168[#All],5,FALSE),VLOOKUP(V36,Table168[#All],7,FALSE)*Y36)</f>
        <v>84.319280000000006</v>
      </c>
      <c r="AA36" s="44">
        <f>VLOOKUP(V36,U28:AC33,8,FALSE)</f>
        <v>111.97</v>
      </c>
      <c r="AB36" s="43">
        <f>Y36*AA36/100</f>
        <v>88.321935999999994</v>
      </c>
      <c r="AC36" s="42">
        <v>2</v>
      </c>
    </row>
    <row r="37" spans="1:35" x14ac:dyDescent="0.25">
      <c r="C37" s="41" t="e">
        <f>C35-L19+C36-L19+L19</f>
        <v>#N/A</v>
      </c>
      <c r="D37" s="41" t="e">
        <f>D36-D35+I36</f>
        <v>#N/A</v>
      </c>
      <c r="E37" s="40">
        <f>E35-D30+E36-D30+D30</f>
        <v>78.989999999999995</v>
      </c>
      <c r="F37" s="40" t="e">
        <f>F36+F35</f>
        <v>#N/A</v>
      </c>
      <c r="G37" s="38"/>
      <c r="H37" s="39"/>
      <c r="I37" s="38"/>
      <c r="N37" t="s">
        <v>395</v>
      </c>
      <c r="O37" t="s">
        <v>394</v>
      </c>
      <c r="W37" s="41" t="e">
        <f>W35-AF19+W36-AF19+AF19</f>
        <v>#N/A</v>
      </c>
      <c r="X37" s="41" t="e">
        <f>X36-X35+AC36</f>
        <v>#N/A</v>
      </c>
      <c r="Y37" s="40">
        <f>Y35-X30+Y36-X30+X30</f>
        <v>78.989999999999995</v>
      </c>
      <c r="Z37" s="40" t="e">
        <f>Z36+Z35</f>
        <v>#N/A</v>
      </c>
      <c r="AA37" s="38"/>
      <c r="AB37" s="39"/>
      <c r="AC37" s="38"/>
      <c r="AH37" t="s">
        <v>395</v>
      </c>
      <c r="AI37" t="s">
        <v>394</v>
      </c>
    </row>
    <row r="38" spans="1:35" x14ac:dyDescent="0.25">
      <c r="I38" t="s">
        <v>393</v>
      </c>
      <c r="J38">
        <v>164.5</v>
      </c>
      <c r="K38" t="s">
        <v>392</v>
      </c>
      <c r="L38">
        <v>-2.5</v>
      </c>
      <c r="M38" t="s">
        <v>391</v>
      </c>
      <c r="N38">
        <f>J38/2-L38/2</f>
        <v>83.5</v>
      </c>
      <c r="O38">
        <f>J39/2-L39/2</f>
        <v>80.75</v>
      </c>
      <c r="P38">
        <f>O38/N38</f>
        <v>0.96706586826347307</v>
      </c>
    </row>
    <row r="39" spans="1:35" x14ac:dyDescent="0.25">
      <c r="I39" t="s">
        <v>390</v>
      </c>
      <c r="J39">
        <v>163.5</v>
      </c>
      <c r="K39" t="s">
        <v>389</v>
      </c>
      <c r="L39">
        <v>2</v>
      </c>
      <c r="M39" t="s">
        <v>388</v>
      </c>
      <c r="N39">
        <f>J38/2+L38/2</f>
        <v>81</v>
      </c>
      <c r="O39">
        <f>J39/2+L39/2</f>
        <v>82.75</v>
      </c>
      <c r="P39">
        <f>O39/N39</f>
        <v>1.021604938271605</v>
      </c>
    </row>
    <row r="41" spans="1:35" x14ac:dyDescent="0.25">
      <c r="B41" t="s">
        <v>387</v>
      </c>
      <c r="C41" t="s">
        <v>386</v>
      </c>
      <c r="D41" t="s">
        <v>385</v>
      </c>
      <c r="E41" t="s">
        <v>384</v>
      </c>
      <c r="F41" t="s">
        <v>383</v>
      </c>
      <c r="G41" t="s">
        <v>382</v>
      </c>
      <c r="I41" t="s">
        <v>387</v>
      </c>
      <c r="J41" t="s">
        <v>386</v>
      </c>
      <c r="K41" t="s">
        <v>385</v>
      </c>
      <c r="L41" t="s">
        <v>384</v>
      </c>
      <c r="M41" t="s">
        <v>383</v>
      </c>
      <c r="N41" t="s">
        <v>382</v>
      </c>
    </row>
    <row r="42" spans="1:35" x14ac:dyDescent="0.25">
      <c r="A42" t="s">
        <v>381</v>
      </c>
      <c r="B42">
        <v>36</v>
      </c>
      <c r="C42">
        <v>25</v>
      </c>
      <c r="D42">
        <v>11.05</v>
      </c>
      <c r="E42">
        <v>3.35</v>
      </c>
      <c r="F42">
        <v>0.63</v>
      </c>
      <c r="G42">
        <v>6.8</v>
      </c>
      <c r="J42" s="36">
        <f>C42*$P$38</f>
        <v>24.176646706586826</v>
      </c>
      <c r="K42" s="36">
        <f>D42*$P$38</f>
        <v>10.686077844311377</v>
      </c>
      <c r="L42" s="36">
        <f>E42*$P$38</f>
        <v>3.2396706586826349</v>
      </c>
      <c r="M42" s="36">
        <f>F42*$P$38</f>
        <v>0.60925149700598802</v>
      </c>
      <c r="N42" s="36">
        <f>G42*$P$38</f>
        <v>6.5760479041916167</v>
      </c>
    </row>
    <row r="43" spans="1:35" x14ac:dyDescent="0.25">
      <c r="A43" t="s">
        <v>380</v>
      </c>
      <c r="B43">
        <v>35</v>
      </c>
      <c r="C43">
        <v>10.1</v>
      </c>
      <c r="D43">
        <v>3.35</v>
      </c>
      <c r="E43">
        <v>6.55</v>
      </c>
      <c r="F43">
        <v>1.1200000000000001</v>
      </c>
      <c r="G43">
        <v>2.15</v>
      </c>
      <c r="J43" s="36">
        <f>C43*$P$38</f>
        <v>9.7673652694610773</v>
      </c>
      <c r="K43" s="36">
        <f>D43*$P$38</f>
        <v>3.2396706586826349</v>
      </c>
      <c r="L43" s="36">
        <f>E43*$P$38</f>
        <v>6.3342814371257488</v>
      </c>
      <c r="M43" s="36">
        <f>F43*$P$38</f>
        <v>1.0831137724550899</v>
      </c>
      <c r="N43" s="36">
        <f>G43*$P$38</f>
        <v>2.079191616766467</v>
      </c>
    </row>
    <row r="44" spans="1:35" x14ac:dyDescent="0.25">
      <c r="A44" t="s">
        <v>379</v>
      </c>
      <c r="B44">
        <v>18</v>
      </c>
      <c r="C44">
        <v>7.6</v>
      </c>
      <c r="E44">
        <v>2.7</v>
      </c>
      <c r="F44">
        <v>1.1499999999999999</v>
      </c>
      <c r="J44" s="36">
        <f>C44*$P$38</f>
        <v>7.3497005988023947</v>
      </c>
      <c r="K44" s="36">
        <f>D44*$P$38</f>
        <v>0</v>
      </c>
      <c r="L44" s="36">
        <f>E44*$P$38</f>
        <v>2.6110778443113776</v>
      </c>
      <c r="M44" s="36">
        <f>F44*$P$38</f>
        <v>1.1121257485029938</v>
      </c>
      <c r="N44" s="36">
        <f>G44*$P$38</f>
        <v>0</v>
      </c>
    </row>
    <row r="45" spans="1:35" x14ac:dyDescent="0.25">
      <c r="A45" t="s">
        <v>378</v>
      </c>
      <c r="B45">
        <v>35.5</v>
      </c>
      <c r="C45">
        <v>16.2</v>
      </c>
      <c r="D45">
        <v>4.5999999999999996</v>
      </c>
      <c r="E45">
        <v>5.2</v>
      </c>
      <c r="F45">
        <v>1.6</v>
      </c>
      <c r="G45">
        <v>4.5</v>
      </c>
      <c r="J45" s="36">
        <f>C45*$P$38</f>
        <v>15.666467065868263</v>
      </c>
      <c r="K45" s="36">
        <f>D45*$P$38</f>
        <v>4.4485029940119754</v>
      </c>
      <c r="L45" s="36">
        <f>E45*$P$38</f>
        <v>5.0287425149700598</v>
      </c>
      <c r="M45" s="36">
        <f>F45*$P$38</f>
        <v>1.5473053892215569</v>
      </c>
      <c r="N45" s="36">
        <f>G45*$P$38</f>
        <v>4.3517964071856285</v>
      </c>
    </row>
    <row r="46" spans="1:35" x14ac:dyDescent="0.25">
      <c r="A46" t="s">
        <v>377</v>
      </c>
      <c r="B46">
        <v>25</v>
      </c>
      <c r="C46">
        <v>9.9</v>
      </c>
      <c r="D46">
        <v>3.05</v>
      </c>
      <c r="F46">
        <v>1.58</v>
      </c>
      <c r="J46" s="36">
        <f>C46*$P$38</f>
        <v>9.5739520958083837</v>
      </c>
      <c r="K46" s="36">
        <f>D46*$P$38</f>
        <v>2.9495508982035927</v>
      </c>
      <c r="L46" s="36">
        <f>E46*$P$38</f>
        <v>0</v>
      </c>
      <c r="M46" s="36">
        <f>F46*$P$38</f>
        <v>1.5279640718562875</v>
      </c>
      <c r="N46" s="36">
        <f>G46*$P$38</f>
        <v>0</v>
      </c>
    </row>
    <row r="47" spans="1:35" x14ac:dyDescent="0.25">
      <c r="A47" t="s">
        <v>376</v>
      </c>
      <c r="B47">
        <v>25</v>
      </c>
      <c r="C47">
        <v>6.35</v>
      </c>
      <c r="D47">
        <v>5.15</v>
      </c>
      <c r="G47">
        <v>2.25</v>
      </c>
      <c r="J47" s="36">
        <f>C47*$P$38</f>
        <v>6.1408682634730534</v>
      </c>
      <c r="K47" s="36">
        <f>D47*$P$38</f>
        <v>4.9803892215568863</v>
      </c>
      <c r="L47" s="36">
        <f>E47*$P$38</f>
        <v>0</v>
      </c>
      <c r="M47" s="36">
        <f>F47*$P$38</f>
        <v>0</v>
      </c>
      <c r="N47" s="36">
        <f>G47*$P$38</f>
        <v>2.1758982035928143</v>
      </c>
    </row>
    <row r="48" spans="1:35" x14ac:dyDescent="0.25">
      <c r="J48" s="36"/>
      <c r="K48" s="36"/>
      <c r="L48" s="36"/>
      <c r="M48" s="36"/>
      <c r="N48" s="36"/>
    </row>
    <row r="49" spans="1:14" x14ac:dyDescent="0.25">
      <c r="A49" t="s">
        <v>375</v>
      </c>
      <c r="B49">
        <v>36</v>
      </c>
      <c r="C49">
        <v>14.95</v>
      </c>
      <c r="D49">
        <v>9.35</v>
      </c>
      <c r="E49">
        <v>9.1</v>
      </c>
      <c r="G49">
        <v>4.25</v>
      </c>
      <c r="J49" s="36">
        <f>C49*$P$39</f>
        <v>15.272993827160494</v>
      </c>
      <c r="K49" s="36">
        <f>D49*$P$39</f>
        <v>9.5520061728395067</v>
      </c>
      <c r="L49" s="36">
        <f>E49*$P$39</f>
        <v>9.2966049382716047</v>
      </c>
      <c r="M49" s="36">
        <f>F49*$P$39</f>
        <v>0</v>
      </c>
      <c r="N49" s="36">
        <f>G49*$P$39</f>
        <v>4.3418209876543212</v>
      </c>
    </row>
    <row r="50" spans="1:14" x14ac:dyDescent="0.25">
      <c r="A50" t="s">
        <v>374</v>
      </c>
      <c r="B50">
        <v>26</v>
      </c>
      <c r="C50">
        <v>8.6999999999999993</v>
      </c>
      <c r="D50">
        <v>5.95</v>
      </c>
      <c r="F50">
        <v>1</v>
      </c>
      <c r="J50" s="36">
        <f>C50*$P$39</f>
        <v>8.8879629629629626</v>
      </c>
      <c r="K50" s="36">
        <f>D50*$P$39</f>
        <v>6.0785493827160497</v>
      </c>
      <c r="L50" s="36">
        <f>E50*$P$39</f>
        <v>0</v>
      </c>
      <c r="M50" s="36">
        <f>F50*$P$39</f>
        <v>1.021604938271605</v>
      </c>
      <c r="N50" s="36">
        <f>G50*$P$39</f>
        <v>0</v>
      </c>
    </row>
    <row r="51" spans="1:14" x14ac:dyDescent="0.25">
      <c r="A51" t="s">
        <v>373</v>
      </c>
      <c r="B51">
        <v>34</v>
      </c>
      <c r="C51" s="37">
        <v>16.7</v>
      </c>
      <c r="D51">
        <v>3.2</v>
      </c>
      <c r="E51">
        <v>2.0499999999999998</v>
      </c>
      <c r="F51">
        <v>1.78</v>
      </c>
      <c r="G51">
        <v>3.8</v>
      </c>
      <c r="J51" s="36">
        <f>C51*$P$39</f>
        <v>17.060802469135805</v>
      </c>
      <c r="K51" s="36">
        <f>D51*$P$39</f>
        <v>3.2691358024691364</v>
      </c>
      <c r="L51" s="36">
        <f>E51*$P$39</f>
        <v>2.0942901234567901</v>
      </c>
      <c r="M51" s="36">
        <f>F51*$P$39</f>
        <v>1.818456790123457</v>
      </c>
      <c r="N51" s="36">
        <f>G51*$P$39</f>
        <v>3.8820987654320991</v>
      </c>
    </row>
    <row r="52" spans="1:14" x14ac:dyDescent="0.25">
      <c r="A52" t="s">
        <v>372</v>
      </c>
      <c r="B52">
        <v>22</v>
      </c>
      <c r="C52" s="37">
        <v>6.6</v>
      </c>
      <c r="D52">
        <v>2.6</v>
      </c>
      <c r="E52">
        <v>2.4</v>
      </c>
      <c r="F52">
        <v>0.85</v>
      </c>
      <c r="J52" s="36">
        <f>C52*$P$39</f>
        <v>6.7425925925925929</v>
      </c>
      <c r="K52" s="36">
        <f>D52*$P$39</f>
        <v>2.6561728395061732</v>
      </c>
      <c r="L52" s="36">
        <f>E52*$P$39</f>
        <v>2.4518518518518522</v>
      </c>
      <c r="M52" s="36">
        <f>F52*$P$39</f>
        <v>0.86836419753086425</v>
      </c>
      <c r="N52" s="36">
        <f>G52*$P$39</f>
        <v>0</v>
      </c>
    </row>
    <row r="53" spans="1:14" x14ac:dyDescent="0.25">
      <c r="A53" t="s">
        <v>371</v>
      </c>
      <c r="B53">
        <v>23</v>
      </c>
      <c r="C53" s="37">
        <v>7.05</v>
      </c>
      <c r="F53">
        <v>1.65</v>
      </c>
      <c r="J53" s="36">
        <f>C53*$P$39</f>
        <v>7.2023148148148151</v>
      </c>
      <c r="K53" s="36">
        <f>D53*$P$39</f>
        <v>0</v>
      </c>
      <c r="L53" s="36">
        <f>E53*$P$39</f>
        <v>0</v>
      </c>
      <c r="M53" s="36">
        <f>F53*$P$39</f>
        <v>1.6856481481481482</v>
      </c>
      <c r="N53" s="36">
        <f>G53*$P$39</f>
        <v>0</v>
      </c>
    </row>
    <row r="54" spans="1:14" x14ac:dyDescent="0.25">
      <c r="A54" t="s">
        <v>370</v>
      </c>
      <c r="B54">
        <v>34.5</v>
      </c>
      <c r="C54" s="37" t="s">
        <v>369</v>
      </c>
      <c r="D54">
        <v>5.95</v>
      </c>
      <c r="E54">
        <v>2.6</v>
      </c>
      <c r="F54">
        <v>1.68</v>
      </c>
      <c r="G54">
        <v>4.95</v>
      </c>
      <c r="J54" s="36">
        <f>C54*$P$39</f>
        <v>18.337808641975311</v>
      </c>
      <c r="K54" s="36">
        <f>D54*$P$39</f>
        <v>6.0785493827160497</v>
      </c>
      <c r="L54" s="36">
        <f>E54*$P$39</f>
        <v>2.6561728395061732</v>
      </c>
      <c r="M54" s="36">
        <f>F54*$P$39</f>
        <v>1.7162962962962964</v>
      </c>
      <c r="N54" s="36">
        <f>G54*$P$39</f>
        <v>5.0569444444444454</v>
      </c>
    </row>
    <row r="55" spans="1:14" x14ac:dyDescent="0.25">
      <c r="C55" s="35"/>
    </row>
    <row r="56" spans="1:14" x14ac:dyDescent="0.25">
      <c r="C56" s="35"/>
    </row>
    <row r="57" spans="1:14" x14ac:dyDescent="0.25">
      <c r="C57" s="35"/>
    </row>
    <row r="58" spans="1:14" x14ac:dyDescent="0.25">
      <c r="C58" s="35"/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Team Ratings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Qing</dc:creator>
  <cp:lastModifiedBy>Michelle Qing</cp:lastModifiedBy>
  <dcterms:created xsi:type="dcterms:W3CDTF">2026-04-21T18:43:47Z</dcterms:created>
  <dcterms:modified xsi:type="dcterms:W3CDTF">2026-04-21T18:44:14Z</dcterms:modified>
</cp:coreProperties>
</file>